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8_{FDF70202-096B-2146-A4B9-605D57FBC5CC}" xr6:coauthVersionLast="47" xr6:coauthVersionMax="47" xr10:uidLastSave="{00000000-0000-0000-0000-000000000000}"/>
  <bookViews>
    <workbookView xWindow="5320" yWindow="760" windowWidth="24960" windowHeight="16400" xr2:uid="{985C7073-BA56-7C45-B63B-B8ED79CC161F}"/>
  </bookViews>
  <sheets>
    <sheet name="Good_Study Herbarium Everything" sheetId="1" r:id="rId1"/>
  </sheets>
  <definedNames>
    <definedName name="_xlnm._FilterDatabase" localSheetId="0" hidden="1">'Good_Study Herbarium Everything'!$A$1:$S$898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2" i="1" l="1"/>
  <c r="R372" i="1"/>
  <c r="Q372" i="1"/>
  <c r="S371" i="1"/>
  <c r="R371" i="1"/>
  <c r="Q371" i="1"/>
  <c r="S370" i="1"/>
  <c r="R370" i="1"/>
  <c r="Q370" i="1"/>
  <c r="S369" i="1"/>
  <c r="R369" i="1"/>
  <c r="Q369" i="1"/>
  <c r="S368" i="1"/>
  <c r="R368" i="1"/>
  <c r="Q368" i="1"/>
  <c r="S367" i="1"/>
  <c r="R367" i="1"/>
  <c r="Q367" i="1"/>
  <c r="S366" i="1"/>
  <c r="R366" i="1"/>
  <c r="Q366" i="1"/>
  <c r="S365" i="1"/>
  <c r="R365" i="1"/>
  <c r="Q365" i="1"/>
  <c r="S364" i="1"/>
  <c r="R364" i="1"/>
  <c r="Q364" i="1"/>
  <c r="S363" i="1"/>
  <c r="R363" i="1"/>
  <c r="Q363" i="1"/>
  <c r="S362" i="1"/>
  <c r="R362" i="1"/>
  <c r="Q362" i="1"/>
  <c r="S361" i="1"/>
  <c r="R361" i="1"/>
  <c r="Q361" i="1"/>
  <c r="S360" i="1"/>
  <c r="R360" i="1"/>
  <c r="Q360" i="1"/>
  <c r="S359" i="1"/>
  <c r="R359" i="1"/>
  <c r="Q359" i="1"/>
  <c r="S358" i="1"/>
  <c r="R358" i="1"/>
  <c r="Q358" i="1"/>
  <c r="S357" i="1"/>
  <c r="R357" i="1"/>
  <c r="Q357" i="1"/>
  <c r="S356" i="1"/>
  <c r="R356" i="1"/>
  <c r="Q356" i="1"/>
  <c r="S355" i="1"/>
  <c r="R355" i="1"/>
  <c r="Q355" i="1"/>
  <c r="S354" i="1"/>
  <c r="R354" i="1"/>
  <c r="Q354" i="1"/>
  <c r="S353" i="1"/>
  <c r="R353" i="1"/>
  <c r="Q353" i="1"/>
  <c r="S352" i="1"/>
  <c r="R352" i="1"/>
  <c r="Q352" i="1"/>
  <c r="S351" i="1"/>
  <c r="R351" i="1"/>
  <c r="Q351" i="1"/>
  <c r="S350" i="1"/>
  <c r="R350" i="1"/>
  <c r="Q350" i="1"/>
  <c r="S349" i="1"/>
  <c r="R349" i="1"/>
  <c r="Q349" i="1"/>
  <c r="S348" i="1"/>
  <c r="R348" i="1"/>
  <c r="Q348" i="1"/>
  <c r="S347" i="1"/>
  <c r="R347" i="1"/>
  <c r="Q347" i="1"/>
  <c r="S346" i="1"/>
  <c r="R346" i="1"/>
  <c r="Q346" i="1"/>
  <c r="S345" i="1"/>
  <c r="R345" i="1"/>
  <c r="Q345" i="1"/>
  <c r="S344" i="1"/>
  <c r="R344" i="1"/>
  <c r="Q344" i="1"/>
  <c r="S343" i="1"/>
  <c r="R343" i="1"/>
  <c r="Q343" i="1"/>
  <c r="S342" i="1"/>
  <c r="R342" i="1"/>
  <c r="Q342" i="1"/>
  <c r="S341" i="1"/>
  <c r="R341" i="1"/>
  <c r="Q341" i="1"/>
  <c r="S340" i="1"/>
  <c r="R340" i="1"/>
  <c r="Q340" i="1"/>
  <c r="S339" i="1"/>
  <c r="R339" i="1"/>
  <c r="Q339" i="1"/>
  <c r="S338" i="1"/>
  <c r="R338" i="1"/>
  <c r="Q338" i="1"/>
  <c r="S337" i="1"/>
  <c r="R337" i="1"/>
  <c r="Q337" i="1"/>
  <c r="S336" i="1"/>
  <c r="R336" i="1"/>
  <c r="Q336" i="1"/>
  <c r="S335" i="1"/>
  <c r="R335" i="1"/>
  <c r="Q335" i="1"/>
  <c r="S334" i="1"/>
  <c r="R334" i="1"/>
  <c r="Q334" i="1"/>
  <c r="S333" i="1"/>
  <c r="R333" i="1"/>
  <c r="Q333" i="1"/>
  <c r="S332" i="1"/>
  <c r="R332" i="1"/>
  <c r="Q332" i="1"/>
  <c r="S331" i="1"/>
  <c r="R331" i="1"/>
  <c r="Q331" i="1"/>
  <c r="S330" i="1"/>
  <c r="R330" i="1"/>
  <c r="Q330" i="1"/>
  <c r="S329" i="1"/>
  <c r="R329" i="1"/>
  <c r="Q329" i="1"/>
  <c r="S328" i="1"/>
  <c r="R328" i="1"/>
  <c r="Q328" i="1"/>
  <c r="S327" i="1"/>
  <c r="R327" i="1"/>
  <c r="Q327" i="1"/>
  <c r="S326" i="1"/>
  <c r="R326" i="1"/>
  <c r="Q326" i="1"/>
  <c r="S325" i="1"/>
  <c r="R325" i="1"/>
  <c r="Q325" i="1"/>
  <c r="S324" i="1"/>
  <c r="R324" i="1"/>
  <c r="Q324" i="1"/>
  <c r="S323" i="1"/>
  <c r="R323" i="1"/>
  <c r="Q323" i="1"/>
  <c r="S322" i="1"/>
  <c r="R322" i="1"/>
  <c r="Q322" i="1"/>
  <c r="S321" i="1"/>
  <c r="R321" i="1"/>
  <c r="Q321" i="1"/>
  <c r="S320" i="1"/>
  <c r="R320" i="1"/>
  <c r="Q320" i="1"/>
  <c r="S319" i="1"/>
  <c r="R319" i="1"/>
  <c r="Q319" i="1"/>
  <c r="S318" i="1"/>
  <c r="R318" i="1"/>
  <c r="Q318" i="1"/>
  <c r="S317" i="1"/>
  <c r="R317" i="1"/>
  <c r="Q317" i="1"/>
  <c r="S316" i="1"/>
  <c r="R316" i="1"/>
  <c r="Q316" i="1"/>
  <c r="S315" i="1"/>
  <c r="R315" i="1"/>
  <c r="Q315" i="1"/>
  <c r="S314" i="1"/>
  <c r="R314" i="1"/>
  <c r="Q314" i="1"/>
  <c r="S313" i="1"/>
  <c r="R313" i="1"/>
  <c r="Q313" i="1"/>
  <c r="S312" i="1"/>
  <c r="R312" i="1"/>
  <c r="Q312" i="1"/>
  <c r="S311" i="1"/>
  <c r="R311" i="1"/>
  <c r="Q311" i="1"/>
  <c r="S310" i="1"/>
  <c r="R310" i="1"/>
  <c r="Q310" i="1"/>
  <c r="S309" i="1"/>
  <c r="R309" i="1"/>
  <c r="Q309" i="1"/>
  <c r="S308" i="1"/>
  <c r="R308" i="1"/>
  <c r="Q308" i="1"/>
  <c r="S307" i="1"/>
  <c r="R307" i="1"/>
  <c r="Q307" i="1"/>
  <c r="S306" i="1"/>
  <c r="R306" i="1"/>
  <c r="Q306" i="1"/>
  <c r="S305" i="1"/>
  <c r="R305" i="1"/>
  <c r="Q305" i="1"/>
  <c r="S304" i="1"/>
  <c r="R304" i="1"/>
  <c r="Q304" i="1"/>
  <c r="S303" i="1"/>
  <c r="R303" i="1"/>
  <c r="Q303" i="1"/>
  <c r="S302" i="1"/>
  <c r="R302" i="1"/>
  <c r="Q302" i="1"/>
  <c r="S301" i="1"/>
  <c r="R301" i="1"/>
  <c r="Q301" i="1"/>
  <c r="S300" i="1"/>
  <c r="R300" i="1"/>
  <c r="Q300" i="1"/>
  <c r="S299" i="1"/>
  <c r="R299" i="1"/>
  <c r="Q299" i="1"/>
  <c r="S298" i="1"/>
  <c r="R298" i="1"/>
  <c r="Q298" i="1"/>
  <c r="S297" i="1"/>
  <c r="R297" i="1"/>
  <c r="Q297" i="1"/>
  <c r="S296" i="1"/>
  <c r="R296" i="1"/>
  <c r="Q296" i="1"/>
  <c r="S295" i="1"/>
  <c r="R295" i="1"/>
  <c r="Q295" i="1"/>
  <c r="S294" i="1"/>
  <c r="R294" i="1"/>
  <c r="Q294" i="1"/>
  <c r="S293" i="1"/>
  <c r="R293" i="1"/>
  <c r="Q293" i="1"/>
  <c r="S292" i="1"/>
  <c r="R292" i="1"/>
  <c r="Q292" i="1"/>
  <c r="S291" i="1"/>
  <c r="R291" i="1"/>
  <c r="Q291" i="1"/>
  <c r="S290" i="1"/>
  <c r="R290" i="1"/>
  <c r="Q290" i="1"/>
  <c r="S289" i="1"/>
  <c r="R289" i="1"/>
  <c r="Q289" i="1"/>
  <c r="S288" i="1"/>
  <c r="R288" i="1"/>
  <c r="Q288" i="1"/>
  <c r="S287" i="1"/>
  <c r="R287" i="1"/>
  <c r="Q287" i="1"/>
  <c r="S286" i="1"/>
  <c r="R286" i="1"/>
  <c r="Q286" i="1"/>
  <c r="S285" i="1"/>
  <c r="R285" i="1"/>
  <c r="Q285" i="1"/>
  <c r="S284" i="1"/>
  <c r="R284" i="1"/>
  <c r="Q284" i="1"/>
  <c r="S283" i="1"/>
  <c r="R283" i="1"/>
  <c r="Q283" i="1"/>
  <c r="S282" i="1"/>
  <c r="R282" i="1"/>
  <c r="Q282" i="1"/>
  <c r="S281" i="1"/>
  <c r="R281" i="1"/>
  <c r="Q281" i="1"/>
  <c r="S280" i="1"/>
  <c r="R280" i="1"/>
  <c r="Q280" i="1"/>
  <c r="S279" i="1"/>
  <c r="R279" i="1"/>
  <c r="Q279" i="1"/>
  <c r="S278" i="1"/>
  <c r="R278" i="1"/>
  <c r="Q278" i="1"/>
  <c r="S277" i="1"/>
  <c r="R277" i="1"/>
  <c r="Q277" i="1"/>
  <c r="S276" i="1"/>
  <c r="R276" i="1"/>
  <c r="Q276" i="1"/>
  <c r="S275" i="1"/>
  <c r="R275" i="1"/>
  <c r="Q275" i="1"/>
  <c r="S274" i="1"/>
  <c r="R274" i="1"/>
  <c r="Q274" i="1"/>
  <c r="S273" i="1"/>
  <c r="R273" i="1"/>
  <c r="Q273" i="1"/>
  <c r="S272" i="1"/>
  <c r="R272" i="1"/>
  <c r="Q272" i="1"/>
  <c r="S271" i="1"/>
  <c r="R271" i="1"/>
  <c r="Q271" i="1"/>
  <c r="S270" i="1"/>
  <c r="R270" i="1"/>
  <c r="Q270" i="1"/>
  <c r="S269" i="1"/>
  <c r="R269" i="1"/>
  <c r="Q269" i="1"/>
  <c r="S268" i="1"/>
  <c r="R268" i="1"/>
  <c r="Q268" i="1"/>
  <c r="S267" i="1"/>
  <c r="R267" i="1"/>
  <c r="Q267" i="1"/>
  <c r="S266" i="1"/>
  <c r="R266" i="1"/>
  <c r="Q266" i="1"/>
  <c r="S265" i="1"/>
  <c r="R265" i="1"/>
  <c r="Q265" i="1"/>
  <c r="S264" i="1"/>
  <c r="R264" i="1"/>
  <c r="Q264" i="1"/>
  <c r="S263" i="1"/>
  <c r="R263" i="1"/>
  <c r="Q263" i="1"/>
  <c r="S262" i="1"/>
  <c r="R262" i="1"/>
  <c r="Q262" i="1"/>
  <c r="S261" i="1"/>
  <c r="R261" i="1"/>
  <c r="Q261" i="1"/>
  <c r="S260" i="1"/>
  <c r="R260" i="1"/>
  <c r="Q260" i="1"/>
  <c r="S259" i="1"/>
  <c r="R259" i="1"/>
  <c r="Q259" i="1"/>
  <c r="S258" i="1"/>
  <c r="R258" i="1"/>
  <c r="Q258" i="1"/>
  <c r="S257" i="1"/>
  <c r="R257" i="1"/>
  <c r="Q257" i="1"/>
  <c r="S256" i="1"/>
  <c r="R256" i="1"/>
  <c r="Q256" i="1"/>
  <c r="S255" i="1"/>
  <c r="R255" i="1"/>
  <c r="Q255" i="1"/>
  <c r="S254" i="1"/>
  <c r="R254" i="1"/>
  <c r="Q254" i="1"/>
  <c r="S253" i="1"/>
  <c r="R253" i="1"/>
  <c r="Q253" i="1"/>
  <c r="S252" i="1"/>
  <c r="R252" i="1"/>
  <c r="Q252" i="1"/>
  <c r="S251" i="1"/>
  <c r="R251" i="1"/>
  <c r="Q251" i="1"/>
  <c r="S250" i="1"/>
  <c r="R250" i="1"/>
  <c r="Q250" i="1"/>
  <c r="S249" i="1"/>
  <c r="R249" i="1"/>
  <c r="Q249" i="1"/>
  <c r="S248" i="1"/>
  <c r="R248" i="1"/>
  <c r="Q248" i="1"/>
  <c r="S247" i="1"/>
  <c r="R247" i="1"/>
  <c r="Q247" i="1"/>
  <c r="S246" i="1"/>
  <c r="R246" i="1"/>
  <c r="Q246" i="1"/>
  <c r="S245" i="1"/>
  <c r="R245" i="1"/>
  <c r="Q245" i="1"/>
  <c r="S244" i="1"/>
  <c r="R244" i="1"/>
  <c r="Q244" i="1"/>
  <c r="S243" i="1"/>
  <c r="R243" i="1"/>
  <c r="Q243" i="1"/>
  <c r="S242" i="1"/>
  <c r="R242" i="1"/>
  <c r="Q242" i="1"/>
  <c r="S241" i="1"/>
  <c r="R241" i="1"/>
  <c r="Q241" i="1"/>
  <c r="S240" i="1"/>
  <c r="R240" i="1"/>
  <c r="Q240" i="1"/>
  <c r="S239" i="1"/>
  <c r="R239" i="1"/>
  <c r="Q239" i="1"/>
  <c r="S238" i="1"/>
  <c r="R238" i="1"/>
  <c r="Q238" i="1"/>
  <c r="S237" i="1"/>
  <c r="R237" i="1"/>
  <c r="Q237" i="1"/>
  <c r="S236" i="1"/>
  <c r="R236" i="1"/>
  <c r="Q236" i="1"/>
  <c r="S235" i="1"/>
  <c r="R235" i="1"/>
  <c r="Q235" i="1"/>
  <c r="S234" i="1"/>
  <c r="R234" i="1"/>
  <c r="Q234" i="1"/>
  <c r="S233" i="1"/>
  <c r="R233" i="1"/>
  <c r="Q233" i="1"/>
  <c r="S232" i="1"/>
  <c r="R232" i="1"/>
  <c r="Q232" i="1"/>
  <c r="S231" i="1"/>
  <c r="R231" i="1"/>
  <c r="Q231" i="1"/>
  <c r="S230" i="1"/>
  <c r="R230" i="1"/>
  <c r="Q230" i="1"/>
  <c r="S229" i="1"/>
  <c r="R229" i="1"/>
  <c r="Q229" i="1"/>
  <c r="S228" i="1"/>
  <c r="R228" i="1"/>
  <c r="Q228" i="1"/>
  <c r="S227" i="1"/>
  <c r="R227" i="1"/>
  <c r="Q227" i="1"/>
  <c r="S226" i="1"/>
  <c r="R226" i="1"/>
  <c r="Q226" i="1"/>
  <c r="S225" i="1"/>
  <c r="R225" i="1"/>
  <c r="Q225" i="1"/>
  <c r="S224" i="1"/>
  <c r="R224" i="1"/>
  <c r="Q224" i="1"/>
  <c r="S223" i="1"/>
  <c r="R223" i="1"/>
  <c r="Q223" i="1"/>
  <c r="S222" i="1"/>
  <c r="R222" i="1"/>
  <c r="Q222" i="1"/>
  <c r="S221" i="1"/>
  <c r="R221" i="1"/>
  <c r="Q221" i="1"/>
  <c r="S220" i="1"/>
  <c r="R220" i="1"/>
  <c r="Q220" i="1"/>
  <c r="S219" i="1"/>
  <c r="R219" i="1"/>
  <c r="Q219" i="1"/>
  <c r="S218" i="1"/>
  <c r="R218" i="1"/>
  <c r="Q218" i="1"/>
  <c r="S217" i="1"/>
  <c r="R217" i="1"/>
  <c r="Q217" i="1"/>
  <c r="S216" i="1"/>
  <c r="R216" i="1"/>
  <c r="Q216" i="1"/>
  <c r="S215" i="1"/>
  <c r="R215" i="1"/>
  <c r="Q215" i="1"/>
  <c r="S214" i="1"/>
  <c r="R214" i="1"/>
  <c r="Q214" i="1"/>
  <c r="S213" i="1"/>
  <c r="R213" i="1"/>
  <c r="Q213" i="1"/>
  <c r="S212" i="1"/>
  <c r="R212" i="1"/>
  <c r="Q212" i="1"/>
  <c r="S211" i="1"/>
  <c r="R211" i="1"/>
  <c r="Q211" i="1"/>
  <c r="S210" i="1"/>
  <c r="R210" i="1"/>
  <c r="Q210" i="1"/>
  <c r="S209" i="1"/>
  <c r="R209" i="1"/>
  <c r="Q209" i="1"/>
  <c r="S208" i="1"/>
  <c r="R208" i="1"/>
  <c r="Q208" i="1"/>
  <c r="S207" i="1"/>
  <c r="R207" i="1"/>
  <c r="Q207" i="1"/>
  <c r="S206" i="1"/>
  <c r="R206" i="1"/>
  <c r="Q206" i="1"/>
  <c r="S205" i="1"/>
  <c r="R205" i="1"/>
  <c r="Q205" i="1"/>
  <c r="S204" i="1"/>
  <c r="R204" i="1"/>
  <c r="Q204" i="1"/>
  <c r="S203" i="1"/>
  <c r="R203" i="1"/>
  <c r="Q203" i="1"/>
  <c r="S202" i="1"/>
  <c r="R202" i="1"/>
  <c r="Q202" i="1"/>
  <c r="S201" i="1"/>
  <c r="R201" i="1"/>
  <c r="Q201" i="1"/>
  <c r="S200" i="1"/>
  <c r="R200" i="1"/>
  <c r="Q200" i="1"/>
  <c r="S199" i="1"/>
  <c r="R199" i="1"/>
  <c r="Q199" i="1"/>
  <c r="S198" i="1"/>
  <c r="R198" i="1"/>
  <c r="Q198" i="1"/>
  <c r="S197" i="1"/>
  <c r="R197" i="1"/>
  <c r="Q197" i="1"/>
  <c r="S196" i="1"/>
  <c r="R196" i="1"/>
  <c r="Q196" i="1"/>
  <c r="S195" i="1"/>
  <c r="R195" i="1"/>
  <c r="Q195" i="1"/>
  <c r="S194" i="1"/>
  <c r="R194" i="1"/>
  <c r="Q194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S6" i="1"/>
  <c r="R6" i="1"/>
  <c r="Q6" i="1"/>
  <c r="S5" i="1"/>
  <c r="R5" i="1"/>
  <c r="Q5" i="1"/>
  <c r="S4" i="1"/>
  <c r="R4" i="1"/>
  <c r="Q4" i="1"/>
  <c r="S3" i="1"/>
  <c r="R3" i="1"/>
  <c r="Q3" i="1"/>
  <c r="S2" i="1"/>
  <c r="R2" i="1"/>
  <c r="Q2" i="1"/>
</calcChain>
</file>

<file path=xl/sharedStrings.xml><?xml version="1.0" encoding="utf-8"?>
<sst xmlns="http://schemas.openxmlformats.org/spreadsheetml/2006/main" count="2189" uniqueCount="1110">
  <si>
    <t>SpecimenAccession</t>
  </si>
  <si>
    <t>SpecimenBarcode</t>
  </si>
  <si>
    <t>DeterminationCalcFullName</t>
  </si>
  <si>
    <t>Chicago Native</t>
  </si>
  <si>
    <t>Countinent of origin</t>
  </si>
  <si>
    <t>Collectors</t>
  </si>
  <si>
    <t>CollectorNumber</t>
  </si>
  <si>
    <t>Day</t>
  </si>
  <si>
    <t>Month</t>
  </si>
  <si>
    <t>Year</t>
  </si>
  <si>
    <t>LocalityNotes</t>
  </si>
  <si>
    <t>Accounted for</t>
  </si>
  <si>
    <t>Buds</t>
  </si>
  <si>
    <t>Flowers</t>
  </si>
  <si>
    <t>Fruits</t>
  </si>
  <si>
    <t>Notes</t>
  </si>
  <si>
    <t>Percent Buds</t>
  </si>
  <si>
    <t>Percent Flowers</t>
  </si>
  <si>
    <t>Percent Fruit</t>
  </si>
  <si>
    <t>0071424MOR</t>
  </si>
  <si>
    <t>Tilia</t>
  </si>
  <si>
    <t>NA</t>
  </si>
  <si>
    <t>Podrasky, N</t>
  </si>
  <si>
    <t>1323V87</t>
  </si>
  <si>
    <t>[IL Tree Trail]</t>
  </si>
  <si>
    <t>Yes</t>
  </si>
  <si>
    <t>0071423MOR</t>
  </si>
  <si>
    <t>Klock, K</t>
  </si>
  <si>
    <t>2769V89</t>
  </si>
  <si>
    <t>[D-65/95-80]</t>
  </si>
  <si>
    <t>0071422MOR</t>
  </si>
  <si>
    <t>Packard, S</t>
  </si>
  <si>
    <t>8205V97</t>
  </si>
  <si>
    <t>Ozark Collection, w.side, [T-26/07-35]</t>
  </si>
  <si>
    <t>0065608MOR</t>
  </si>
  <si>
    <t>Beck, J</t>
  </si>
  <si>
    <t>13957v13</t>
  </si>
  <si>
    <t>Tilia: Z-56/77-19</t>
  </si>
  <si>
    <t>0098809MOR</t>
  </si>
  <si>
    <t>Tilia 'Harvest Gold'</t>
  </si>
  <si>
    <t>16025v18</t>
  </si>
  <si>
    <t>Parking 33: L-33/19-57</t>
  </si>
  <si>
    <t>0098531MOR</t>
  </si>
  <si>
    <t>Courtney, C</t>
  </si>
  <si>
    <t>16267v19</t>
  </si>
  <si>
    <t>0101807MOR</t>
  </si>
  <si>
    <t>Tilia 'Moltkei'</t>
  </si>
  <si>
    <t>Worcester, L</t>
  </si>
  <si>
    <t>LW 590</t>
  </si>
  <si>
    <t>Sargent's Glade: GG-22/49-27</t>
  </si>
  <si>
    <t>0055197MOR</t>
  </si>
  <si>
    <t>Tilia 'Redmond'</t>
  </si>
  <si>
    <t>292V84</t>
  </si>
  <si>
    <t>J-45/10-35.</t>
  </si>
  <si>
    <t>0055206MOR</t>
  </si>
  <si>
    <t>1429V87</t>
  </si>
  <si>
    <t>Ground cover collection: J-45/12-37</t>
  </si>
  <si>
    <t>0055199MOR</t>
  </si>
  <si>
    <t>1436V87</t>
  </si>
  <si>
    <t>Ground cover collection: J-46/29-36</t>
  </si>
  <si>
    <t>0055204MOR</t>
  </si>
  <si>
    <t>1433V87</t>
  </si>
  <si>
    <t>Ground cover collection: J-45/22-92</t>
  </si>
  <si>
    <t>0055207MOR</t>
  </si>
  <si>
    <t>1430V87</t>
  </si>
  <si>
    <t>Ground Cover collection: J45/10-56</t>
  </si>
  <si>
    <t>0055203MOR</t>
  </si>
  <si>
    <t>1434V87</t>
  </si>
  <si>
    <t>Ground cover collection: J45/05-96</t>
  </si>
  <si>
    <t>0055205MOR</t>
  </si>
  <si>
    <t>1432V87</t>
  </si>
  <si>
    <t>Ground cover collection J-45/07-76</t>
  </si>
  <si>
    <t>0055208MOR</t>
  </si>
  <si>
    <t>Gavlak, N</t>
  </si>
  <si>
    <t>4141V90</t>
  </si>
  <si>
    <t>Ground Cover Garden: J-46/area.</t>
  </si>
  <si>
    <t>0055200MOR</t>
  </si>
  <si>
    <t>Shimp, E</t>
  </si>
  <si>
    <t>4208V90</t>
  </si>
  <si>
    <t>Fragrance Garden: LL-25/area.</t>
  </si>
  <si>
    <t>0055201MOR</t>
  </si>
  <si>
    <t>7475V96</t>
  </si>
  <si>
    <t>Ground Cover Garden: J-46/29-36.</t>
  </si>
  <si>
    <t>0055194MOR</t>
  </si>
  <si>
    <t>7472v96</t>
  </si>
  <si>
    <t>Ground Cover J-45/10-56</t>
  </si>
  <si>
    <t>0055195MOR</t>
  </si>
  <si>
    <t>7473V96</t>
  </si>
  <si>
    <t>Ground cover garden: J-45/22-92.</t>
  </si>
  <si>
    <t>0055198MOR</t>
  </si>
  <si>
    <t>7474V96</t>
  </si>
  <si>
    <t>Ground Cover Garden: J-45/05-96.</t>
  </si>
  <si>
    <t>0055202MOR</t>
  </si>
  <si>
    <t>7476V96</t>
  </si>
  <si>
    <t>Ground Cover Garden: I-46/93-75.</t>
  </si>
  <si>
    <t>0055196MOR</t>
  </si>
  <si>
    <t>9256V01</t>
  </si>
  <si>
    <t>Fragrance Garden: JJ-25</t>
  </si>
  <si>
    <t>0045009MOR</t>
  </si>
  <si>
    <t>Stephens, M</t>
  </si>
  <si>
    <t>Tree Evaluation Plot, D-102/32-79</t>
  </si>
  <si>
    <t>0092284MOR</t>
  </si>
  <si>
    <t>Madden, ME</t>
  </si>
  <si>
    <t>14919v16</t>
  </si>
  <si>
    <t>Ground Cover Garden: J-45/22-92</t>
  </si>
  <si>
    <t>0100250MOR</t>
  </si>
  <si>
    <t>LW 453</t>
  </si>
  <si>
    <t>Fragrance Garden: JJ-25/82-38</t>
  </si>
  <si>
    <t>0099413MOR</t>
  </si>
  <si>
    <t>Tilia 'Zamoyskiana'</t>
  </si>
  <si>
    <t>LW 607</t>
  </si>
  <si>
    <t>Lower Joy Path: Q-24/73-71</t>
  </si>
  <si>
    <t>0112609MOR</t>
  </si>
  <si>
    <t>Potenberg, K</t>
  </si>
  <si>
    <t>18868v25</t>
  </si>
  <si>
    <t>Staff Parking: K-44/55-17</t>
  </si>
  <si>
    <t>No</t>
  </si>
  <si>
    <t>0049549MOR</t>
  </si>
  <si>
    <t>Tilia × euchlora K.Koch</t>
  </si>
  <si>
    <t>Hess, WJ</t>
  </si>
  <si>
    <t>N-38/10-10</t>
  </si>
  <si>
    <t>0049551MOR</t>
  </si>
  <si>
    <t>5467V92</t>
  </si>
  <si>
    <t>Rosaceae Collection, D-64/64-93</t>
  </si>
  <si>
    <t>0049550MOR</t>
  </si>
  <si>
    <t>Altvatter, K</t>
  </si>
  <si>
    <t>5512V92</t>
  </si>
  <si>
    <t>Display Collection, B-48/45-35</t>
  </si>
  <si>
    <t>0049545MOR</t>
  </si>
  <si>
    <t>Carlino, J</t>
  </si>
  <si>
    <t>6735V94</t>
  </si>
  <si>
    <t>Tree Evaluation Plot, Row 10, E-96/Area.</t>
  </si>
  <si>
    <t>0049546MOR</t>
  </si>
  <si>
    <t>6737V94</t>
  </si>
  <si>
    <t>Tree Evaluation Plot, row 10, E-96/Area.</t>
  </si>
  <si>
    <t>0049547MOR</t>
  </si>
  <si>
    <t>6736V94</t>
  </si>
  <si>
    <t>0064245MOR</t>
  </si>
  <si>
    <t>13928v13</t>
  </si>
  <si>
    <t>Tilia: T-53/65-85</t>
  </si>
  <si>
    <t>0099468MOR</t>
  </si>
  <si>
    <t>LW353</t>
  </si>
  <si>
    <t>Frost Hill: D-64/64-93</t>
  </si>
  <si>
    <t>0060938MOR</t>
  </si>
  <si>
    <t>Tilia × europaea 'Pallida'</t>
  </si>
  <si>
    <t>Tiliaceae: W-57/55-50</t>
  </si>
  <si>
    <t>0049526MOR</t>
  </si>
  <si>
    <t>1567V87</t>
  </si>
  <si>
    <t>Tiliaceae, W-56/00-20</t>
  </si>
  <si>
    <t>0049524MOR</t>
  </si>
  <si>
    <t>4902V91</t>
  </si>
  <si>
    <t>Aesculus Collection, M-92/90-15</t>
  </si>
  <si>
    <t>0049523MOR</t>
  </si>
  <si>
    <t>4910V91</t>
  </si>
  <si>
    <t>Colored Foliage, K-89/50-80</t>
  </si>
  <si>
    <t>0049522MOR</t>
  </si>
  <si>
    <t>6730V94</t>
  </si>
  <si>
    <t>Colored Foliage Collection, K-89/08-55</t>
  </si>
  <si>
    <t>0065971MOR</t>
  </si>
  <si>
    <t>Glaysher, L</t>
  </si>
  <si>
    <t>13952v13</t>
  </si>
  <si>
    <t>Tilia: W-57/55-50</t>
  </si>
  <si>
    <t>0099467MOR</t>
  </si>
  <si>
    <t>LW356</t>
  </si>
  <si>
    <t>0049556MOR</t>
  </si>
  <si>
    <t>Tilia × europaea 'Tortuosa'</t>
  </si>
  <si>
    <t>Braham, R</t>
  </si>
  <si>
    <t>s.n.</t>
  </si>
  <si>
    <t>Tilia Collection, Z-55/70-35</t>
  </si>
  <si>
    <t>0049554MOR</t>
  </si>
  <si>
    <t>Read, RW</t>
  </si>
  <si>
    <t>Tilia, U-52/65-95</t>
  </si>
  <si>
    <t>0049553MOR</t>
  </si>
  <si>
    <t>1195V87</t>
  </si>
  <si>
    <t>Near Joy Path, BB-26/25-80.</t>
  </si>
  <si>
    <t>0049555MOR</t>
  </si>
  <si>
    <t>Erickson, C</t>
  </si>
  <si>
    <t>3544V90</t>
  </si>
  <si>
    <t>Tilia, Z-55/70-35</t>
  </si>
  <si>
    <t>0049552MOR</t>
  </si>
  <si>
    <t>Anderson, B</t>
  </si>
  <si>
    <t>Tiliaceae Collection, east of road at U-52/65-95.</t>
  </si>
  <si>
    <t>0088293MOR</t>
  </si>
  <si>
    <t>Tilia × europaea L.</t>
  </si>
  <si>
    <t>Tilia Collection, [W-56/75-65]</t>
  </si>
  <si>
    <t>0049544MOR</t>
  </si>
  <si>
    <t>Bradtke, HL</t>
  </si>
  <si>
    <t>5893V93</t>
  </si>
  <si>
    <t>0049543MOR</t>
  </si>
  <si>
    <t>5899V93</t>
  </si>
  <si>
    <t>Tilia Collection, W-56/75-65</t>
  </si>
  <si>
    <t>0049525MOR</t>
  </si>
  <si>
    <t>5881V93</t>
  </si>
  <si>
    <t>Tiliaceae Collection, W-56/00-20</t>
  </si>
  <si>
    <t>0065963MOR</t>
  </si>
  <si>
    <t>13887v13</t>
  </si>
  <si>
    <t>Tilia: AA-54/33-65</t>
  </si>
  <si>
    <t>0099470MOR</t>
  </si>
  <si>
    <t>LW350</t>
  </si>
  <si>
    <t>0099844MOR</t>
  </si>
  <si>
    <t>LW 454</t>
  </si>
  <si>
    <t>Tilia: O-87/20-96</t>
  </si>
  <si>
    <t>0099843MOR</t>
  </si>
  <si>
    <t>LW 455</t>
  </si>
  <si>
    <t>Tilia: P-92/97-20</t>
  </si>
  <si>
    <t>0065630MOR</t>
  </si>
  <si>
    <t>Tilia × flaccida Host ex Bayer</t>
  </si>
  <si>
    <t>13888v13</t>
  </si>
  <si>
    <t>Tilia: AA-54/18-92</t>
  </si>
  <si>
    <t>0099172MOR</t>
  </si>
  <si>
    <t>LW404</t>
  </si>
  <si>
    <t>0099465MOR</t>
  </si>
  <si>
    <t>Tilia × flavescens 'Glenleven'</t>
  </si>
  <si>
    <t>LW402</t>
  </si>
  <si>
    <t>East Tilia: Q-91/44-18</t>
  </si>
  <si>
    <t>0049558MOR</t>
  </si>
  <si>
    <t>Tilia × flavescens A.Braun ex Döll</t>
  </si>
  <si>
    <t>Bunyan, T</t>
  </si>
  <si>
    <t>1533V87</t>
  </si>
  <si>
    <t>Tiliaceae, V-50/40-05</t>
  </si>
  <si>
    <t>0049557MOR</t>
  </si>
  <si>
    <t>2096V88</t>
  </si>
  <si>
    <t>0088290MOR</t>
  </si>
  <si>
    <t>Tilia × orbicularis (Carrière) Jouin</t>
  </si>
  <si>
    <t>1187V87</t>
  </si>
  <si>
    <t>[S-25 Area]</t>
  </si>
  <si>
    <t>0088289MOR</t>
  </si>
  <si>
    <t>3656V90</t>
  </si>
  <si>
    <t>[Z-53/area]</t>
  </si>
  <si>
    <t>0088288MOR</t>
  </si>
  <si>
    <t>6725V94</t>
  </si>
  <si>
    <t>Tilia Collection, [Z-54/52-73]</t>
  </si>
  <si>
    <t>0099173MOR</t>
  </si>
  <si>
    <t>LW405</t>
  </si>
  <si>
    <t>Tilia: Z-54/52-73</t>
  </si>
  <si>
    <t>0071419MOR</t>
  </si>
  <si>
    <t>Tilia × zamoyskiana Wróbl.</t>
  </si>
  <si>
    <t>1226V87</t>
  </si>
  <si>
    <t>Tiliaceae Col., Morton Arb., [AA-53/20-05]</t>
  </si>
  <si>
    <t>0071418MOR</t>
  </si>
  <si>
    <t>1308V87</t>
  </si>
  <si>
    <t>[AA-53/20-00]</t>
  </si>
  <si>
    <t>0071417MOR</t>
  </si>
  <si>
    <t>1307V87</t>
  </si>
  <si>
    <t>[Z-52/80-65]</t>
  </si>
  <si>
    <t>0048516MOR</t>
  </si>
  <si>
    <t>Knox, K</t>
  </si>
  <si>
    <t>9951V04</t>
  </si>
  <si>
    <t>Ground Cover Garden, east side; J-42/30-80</t>
  </si>
  <si>
    <t>0071416MOR</t>
  </si>
  <si>
    <t>Kirt, S</t>
  </si>
  <si>
    <t>8557V98</t>
  </si>
  <si>
    <t>Tilia, N section, [Z-52/80-65]</t>
  </si>
  <si>
    <t>0071420MOR</t>
  </si>
  <si>
    <t>Tiliaceae Collection, [AA-53/20-05]</t>
  </si>
  <si>
    <t>0071421MOR</t>
  </si>
  <si>
    <t>Tiliaceae Collection, [Z-52/80-65]</t>
  </si>
  <si>
    <t>0050112MOR</t>
  </si>
  <si>
    <t>Carle, M</t>
  </si>
  <si>
    <t>10193V05</t>
  </si>
  <si>
    <t>Ground Cover Garden, west side, north: J-42/30-80</t>
  </si>
  <si>
    <t>0099472MOR</t>
  </si>
  <si>
    <t>LW347</t>
  </si>
  <si>
    <t>Ground Cover Garden: J-42/30-80</t>
  </si>
  <si>
    <t>Tilia amurensis Rupr.</t>
  </si>
  <si>
    <t>Unknown</t>
  </si>
  <si>
    <t>HLJ-15</t>
  </si>
  <si>
    <t>Ping Shan</t>
  </si>
  <si>
    <t>0100246MOR</t>
  </si>
  <si>
    <t>LW 450</t>
  </si>
  <si>
    <t>China: X-64/29-37</t>
  </si>
  <si>
    <t>0088479MOR</t>
  </si>
  <si>
    <t>Tilia amurensis subsp. amurensis</t>
  </si>
  <si>
    <t>Dorrell, J</t>
  </si>
  <si>
    <t>15168v16</t>
  </si>
  <si>
    <t>0055677MOR</t>
  </si>
  <si>
    <t>Tilia amurensis subsp. taquetii (C.K.Schneid.) Pigott</t>
  </si>
  <si>
    <t>Means, E</t>
  </si>
  <si>
    <t>11698v09</t>
  </si>
  <si>
    <t>Korea: Q-66/24-23</t>
  </si>
  <si>
    <t>0064036MOR</t>
  </si>
  <si>
    <t>13905v13</t>
  </si>
  <si>
    <t>Korea: P-63/97-58</t>
  </si>
  <si>
    <t>0065852MOR</t>
  </si>
  <si>
    <t>13904v13</t>
  </si>
  <si>
    <t>Korea: Q-63/15-76</t>
  </si>
  <si>
    <t>0065853MOR</t>
  </si>
  <si>
    <t>13906v13</t>
  </si>
  <si>
    <t>Korea: P-63/95-89</t>
  </si>
  <si>
    <t>0099159MOR</t>
  </si>
  <si>
    <t>LW311</t>
  </si>
  <si>
    <t>0099841MOR</t>
  </si>
  <si>
    <t>LW 457</t>
  </si>
  <si>
    <t>0099170MOR</t>
  </si>
  <si>
    <t>Tilia begoniifolia Steven</t>
  </si>
  <si>
    <t>LW370</t>
  </si>
  <si>
    <t>Propagation: H-30/area (Hoop House 5)</t>
  </si>
  <si>
    <t>0049510MOR</t>
  </si>
  <si>
    <t>Tilia chinensis Maxim.</t>
  </si>
  <si>
    <t>Tilia collection on east side near DuPage River by coordinates U-55/35-25.</t>
  </si>
  <si>
    <t>0049478MOR</t>
  </si>
  <si>
    <t>Tilia Collection, near U-55, east of road.</t>
  </si>
  <si>
    <t>0049483MOR</t>
  </si>
  <si>
    <t>5891V93</t>
  </si>
  <si>
    <t>Tilia Collection, U-55/40-55</t>
  </si>
  <si>
    <t>0049482MOR</t>
  </si>
  <si>
    <t>6718V94</t>
  </si>
  <si>
    <t>Tilia Collection, AA-52/25-05</t>
  </si>
  <si>
    <t>0049481MOR</t>
  </si>
  <si>
    <t>6795V94</t>
  </si>
  <si>
    <t>Tiliaceae Collection, U-55/35-25</t>
  </si>
  <si>
    <t>0050088MOR</t>
  </si>
  <si>
    <t>Vogel, S</t>
  </si>
  <si>
    <t>9702V03</t>
  </si>
  <si>
    <t>Tilia, north section: AA-52/25-05</t>
  </si>
  <si>
    <t>0099840MOR</t>
  </si>
  <si>
    <t>LW235</t>
  </si>
  <si>
    <t>Hatch Meadow: CC-41/54-11</t>
  </si>
  <si>
    <t>0099376MOR</t>
  </si>
  <si>
    <t>LW 618</t>
  </si>
  <si>
    <t>China: CC-67/37-93</t>
  </si>
  <si>
    <t>0099169MOR</t>
  </si>
  <si>
    <t>Tilia chingiana Hu &amp; W.C.Cheng</t>
  </si>
  <si>
    <t>LW369</t>
  </si>
  <si>
    <t>0099374MOR</t>
  </si>
  <si>
    <t>Tilia cordata 'Corzam'</t>
  </si>
  <si>
    <t>LW 620</t>
  </si>
  <si>
    <t>Firefly Pond: G-43/45-38</t>
  </si>
  <si>
    <t>0109214MOR</t>
  </si>
  <si>
    <t>18549v24</t>
  </si>
  <si>
    <t>0050018MOR</t>
  </si>
  <si>
    <t>Tilia cordata 'Greenspire'</t>
  </si>
  <si>
    <t>6734V94</t>
  </si>
  <si>
    <t>Row 11 in Tree Evaluation Plot, E-96/Area</t>
  </si>
  <si>
    <t>0051420MOR</t>
  </si>
  <si>
    <t>9701V03</t>
  </si>
  <si>
    <t>Tilia, north section: Z-51/35-35</t>
  </si>
  <si>
    <t>0076037MOR</t>
  </si>
  <si>
    <t>14250v14</t>
  </si>
  <si>
    <t>Meadow Lake: N-51/83-98</t>
  </si>
  <si>
    <t>0101701MOR</t>
  </si>
  <si>
    <t>LW 569</t>
  </si>
  <si>
    <t>Gateway to Tree Science: F-101/35-48</t>
  </si>
  <si>
    <t>0101219MOR</t>
  </si>
  <si>
    <t>Tilia cordata 'Halka'</t>
  </si>
  <si>
    <t>LW 499</t>
  </si>
  <si>
    <t>West DuPage River: L-28/21-34</t>
  </si>
  <si>
    <t>0050016MOR</t>
  </si>
  <si>
    <t>Tilia cordata 'Handsworth'</t>
  </si>
  <si>
    <t>8559V98</t>
  </si>
  <si>
    <t>Tilia, s. section, X-55/15-25</t>
  </si>
  <si>
    <t>0049492MOR</t>
  </si>
  <si>
    <t>Tilia cordata Mill.</t>
  </si>
  <si>
    <t>Teuscher, H</t>
  </si>
  <si>
    <t>0049527MOR</t>
  </si>
  <si>
    <t>Tilia Collection, X-56/15-35</t>
  </si>
  <si>
    <t>0049489MOR</t>
  </si>
  <si>
    <t>Tilia Collection; Y-56/00-00</t>
  </si>
  <si>
    <t>0049493MOR</t>
  </si>
  <si>
    <t>Display group just east of greenhouses and SE from the Administration Building near C-44.</t>
  </si>
  <si>
    <t>0049528MOR</t>
  </si>
  <si>
    <t>Tilia Collection, X-56/50-40, east side of road.</t>
  </si>
  <si>
    <t>0049532MOR</t>
  </si>
  <si>
    <t>Tilia Collection, W-56/80-35, east side of road.</t>
  </si>
  <si>
    <t>0049529MOR</t>
  </si>
  <si>
    <t>Tilia Collection, X-55/50-55, east side of road.</t>
  </si>
  <si>
    <t>0049531MOR</t>
  </si>
  <si>
    <t>Tilia Collection, X-56/15-35, east side of road.</t>
  </si>
  <si>
    <t>0049486MOR</t>
  </si>
  <si>
    <t>Tiliaceae Collection east of road; W-56/45-25.</t>
  </si>
  <si>
    <t>0049530MOR</t>
  </si>
  <si>
    <t>Tilia Collection, W-54/40-85, east side of road.</t>
  </si>
  <si>
    <t>0049511MOR</t>
  </si>
  <si>
    <t>Tiliaceae Collection, east side of road, W-55/65-35.</t>
  </si>
  <si>
    <t>0049487MOR</t>
  </si>
  <si>
    <t>Tiliaceae Collection east of road; W-57/30-15.</t>
  </si>
  <si>
    <t>0049534MOR</t>
  </si>
  <si>
    <t>293V84</t>
  </si>
  <si>
    <t>Near Visitor Center, L-46/25-55.</t>
  </si>
  <si>
    <t>0049501MOR</t>
  </si>
  <si>
    <t>721V86</t>
  </si>
  <si>
    <t>Tiliaceae Collection; U-50/25-15</t>
  </si>
  <si>
    <t>0049490MOR</t>
  </si>
  <si>
    <t>720V86</t>
  </si>
  <si>
    <t>Tiliaceae Collection; U-50/35-30</t>
  </si>
  <si>
    <t>0049536MOR</t>
  </si>
  <si>
    <t>722V86</t>
  </si>
  <si>
    <t>Tiliaceae, U-50/10-30</t>
  </si>
  <si>
    <t>0049494MOR</t>
  </si>
  <si>
    <t>1441V87</t>
  </si>
  <si>
    <t>Near Visitor Center; L-46/25-55.</t>
  </si>
  <si>
    <t>0049496MOR</t>
  </si>
  <si>
    <t>1329V87</t>
  </si>
  <si>
    <t>Near Meadow Lake; S-47/60-50.</t>
  </si>
  <si>
    <t>0049491MOR</t>
  </si>
  <si>
    <t>2094V88</t>
  </si>
  <si>
    <t>0049499MOR</t>
  </si>
  <si>
    <t>2174V88</t>
  </si>
  <si>
    <t>Central and Western Asia Collection; DD-68/20-77</t>
  </si>
  <si>
    <t>0049504MOR</t>
  </si>
  <si>
    <t>2794V89</t>
  </si>
  <si>
    <t>Tiliaceae Collection; Y-55/65-90</t>
  </si>
  <si>
    <t>0049495MOR</t>
  </si>
  <si>
    <t>3557V90</t>
  </si>
  <si>
    <t>Near Administration Building; H-40/area.</t>
  </si>
  <si>
    <t>0049535MOR</t>
  </si>
  <si>
    <t>3791V90</t>
  </si>
  <si>
    <t>Godshalk Meadow, L-35/22-10</t>
  </si>
  <si>
    <t>0049533MOR</t>
  </si>
  <si>
    <t>3654V90</t>
  </si>
  <si>
    <t>Tilia Collection, X-56/50-40</t>
  </si>
  <si>
    <t>0049542MOR</t>
  </si>
  <si>
    <t>3827V90</t>
  </si>
  <si>
    <t>Southern European Collection, W-35/29-68</t>
  </si>
  <si>
    <t>0049500MOR</t>
  </si>
  <si>
    <t>3908V90</t>
  </si>
  <si>
    <t>Tilia Collection; X-56/15-35</t>
  </si>
  <si>
    <t>0049502MOR</t>
  </si>
  <si>
    <t>4152V90</t>
  </si>
  <si>
    <t>Display Collection, B-45/Area</t>
  </si>
  <si>
    <t>0049497MOR</t>
  </si>
  <si>
    <t>4653V91</t>
  </si>
  <si>
    <t>0049537MOR</t>
  </si>
  <si>
    <t>4855V91</t>
  </si>
  <si>
    <t>Tiliaceae Collection, AA-54/80-55</t>
  </si>
  <si>
    <t>0049538MOR</t>
  </si>
  <si>
    <t>5374V92</t>
  </si>
  <si>
    <t>Central Europe Collection, Y-32/53-85</t>
  </si>
  <si>
    <t>0049539MOR</t>
  </si>
  <si>
    <t>5372V92</t>
  </si>
  <si>
    <t>Central Europe Collection, BB-31/27-54</t>
  </si>
  <si>
    <t>0049509MOR</t>
  </si>
  <si>
    <t>5898V93</t>
  </si>
  <si>
    <t>Tilia Collection, W-56/45-25</t>
  </si>
  <si>
    <t>0049541MOR</t>
  </si>
  <si>
    <t>5894V93</t>
  </si>
  <si>
    <t>Tilia Collection, W-57/30-15</t>
  </si>
  <si>
    <t>0049540MOR</t>
  </si>
  <si>
    <t>5878V93</t>
  </si>
  <si>
    <t>0049516MOR</t>
  </si>
  <si>
    <t>5877V93</t>
  </si>
  <si>
    <t>0049517MOR</t>
  </si>
  <si>
    <t>6085V93</t>
  </si>
  <si>
    <t>Administration Building, H-40/Area</t>
  </si>
  <si>
    <t>0049515MOR</t>
  </si>
  <si>
    <t>6567V94</t>
  </si>
  <si>
    <t>Tilia Collection, Z-53/76-53</t>
  </si>
  <si>
    <t>0049507MOR</t>
  </si>
  <si>
    <t>6559V94</t>
  </si>
  <si>
    <t>Fragrance Garden, LL-25/area</t>
  </si>
  <si>
    <t>0050017MOR</t>
  </si>
  <si>
    <t>6717V94</t>
  </si>
  <si>
    <t>Tilia Collection, Z-51/35-35</t>
  </si>
  <si>
    <t>0049505MOR</t>
  </si>
  <si>
    <t>6664V94</t>
  </si>
  <si>
    <t>U-50/35-30</t>
  </si>
  <si>
    <t>0049513MOR</t>
  </si>
  <si>
    <t>6663V94</t>
  </si>
  <si>
    <t>Tilia Collection, U-50/10-30</t>
  </si>
  <si>
    <t>0049514MOR</t>
  </si>
  <si>
    <t>6662V94</t>
  </si>
  <si>
    <t>Tilia Collection, U-50/25-15</t>
  </si>
  <si>
    <t>0071255MOR</t>
  </si>
  <si>
    <t>6771V94</t>
  </si>
  <si>
    <t>Southern Europe, [W-35/45-43]</t>
  </si>
  <si>
    <t>0049498MOR</t>
  </si>
  <si>
    <t>6773V94</t>
  </si>
  <si>
    <t>Southern Europe Collection; W-35/70-58</t>
  </si>
  <si>
    <t>0049503MOR</t>
  </si>
  <si>
    <t>6793V94</t>
  </si>
  <si>
    <t>Tiliaceae Collection; W-56/45-25</t>
  </si>
  <si>
    <t>0049512MOR</t>
  </si>
  <si>
    <t>0049488MOR</t>
  </si>
  <si>
    <t>DeMink, L</t>
  </si>
  <si>
    <t>Hamamelidales Collection; U-50/10-30</t>
  </si>
  <si>
    <t>0049508MOR</t>
  </si>
  <si>
    <t>Bolger, K</t>
  </si>
  <si>
    <t>8790V99</t>
  </si>
  <si>
    <t>Central &amp; West Asia, north section, DD-68/20-77.</t>
  </si>
  <si>
    <t>0049506MOR</t>
  </si>
  <si>
    <t>8950V99</t>
  </si>
  <si>
    <t>Fragrance Garden, JJ-25/Area</t>
  </si>
  <si>
    <t>0040854MOR</t>
  </si>
  <si>
    <t>Balkan collection, N section; JJ-73/42-58</t>
  </si>
  <si>
    <t>0042350MOR</t>
  </si>
  <si>
    <t>9626V02</t>
  </si>
  <si>
    <t>Godshalk Meadow, N side; M-30/65-60</t>
  </si>
  <si>
    <t>0051419MOR</t>
  </si>
  <si>
    <t>9703V03</t>
  </si>
  <si>
    <t>Tilia, north section; AA-53/16-97</t>
  </si>
  <si>
    <t>0052868MOR</t>
  </si>
  <si>
    <t>Penny, W</t>
  </si>
  <si>
    <t>10627V07</t>
  </si>
  <si>
    <t>Central &amp; Western Asia, north section: EE-69/09-29</t>
  </si>
  <si>
    <t>0056320MOR</t>
  </si>
  <si>
    <t>Ball, K</t>
  </si>
  <si>
    <t>12304v10</t>
  </si>
  <si>
    <t>Tilia, north section: X-55/62-90</t>
  </si>
  <si>
    <t>0056270MOR</t>
  </si>
  <si>
    <t>Keller, M</t>
  </si>
  <si>
    <t>12305v10</t>
  </si>
  <si>
    <t>Central Europe: Y-32/40-69</t>
  </si>
  <si>
    <t>0064033MOR</t>
  </si>
  <si>
    <t>13855v13</t>
  </si>
  <si>
    <t>Tilia: AA-53/16-97</t>
  </si>
  <si>
    <t>0064271MOR</t>
  </si>
  <si>
    <t>Sachdev, S</t>
  </si>
  <si>
    <t>13851v13</t>
  </si>
  <si>
    <t>Tilia: W-56/80-35</t>
  </si>
  <si>
    <t>0064272MOR</t>
  </si>
  <si>
    <t>DeVries, C</t>
  </si>
  <si>
    <t>13852v13</t>
  </si>
  <si>
    <t>Tilia: X-55/50-55</t>
  </si>
  <si>
    <t>0064277MOR</t>
  </si>
  <si>
    <t>13885v13</t>
  </si>
  <si>
    <t>0064276MOR</t>
  </si>
  <si>
    <t>13884v13</t>
  </si>
  <si>
    <t>Tilia: W-56/45-25</t>
  </si>
  <si>
    <t>0065632MOR</t>
  </si>
  <si>
    <t>Casey, A</t>
  </si>
  <si>
    <t>13892v13</t>
  </si>
  <si>
    <t>0065850MOR</t>
  </si>
  <si>
    <t>Matejka, K</t>
  </si>
  <si>
    <t>13894v13</t>
  </si>
  <si>
    <t>0065849MOR</t>
  </si>
  <si>
    <t>13893v13</t>
  </si>
  <si>
    <t>Tilia: X-55/62-90</t>
  </si>
  <si>
    <t>0082894MOR</t>
  </si>
  <si>
    <t>14533v15</t>
  </si>
  <si>
    <t>0084738MOR</t>
  </si>
  <si>
    <t>?</t>
  </si>
  <si>
    <t>14534v15</t>
  </si>
  <si>
    <t>0091047MOR</t>
  </si>
  <si>
    <t>14932v16</t>
  </si>
  <si>
    <t>Godshalk Meadow: M-30/65-60.</t>
  </si>
  <si>
    <t>0099171MOR</t>
  </si>
  <si>
    <t>LW371</t>
  </si>
  <si>
    <t>0099473MOR</t>
  </si>
  <si>
    <t>Moran, E</t>
  </si>
  <si>
    <t>16228v19</t>
  </si>
  <si>
    <t>0099842MOR</t>
  </si>
  <si>
    <t>LW 456</t>
  </si>
  <si>
    <t>0101699MOR</t>
  </si>
  <si>
    <t>LW 571</t>
  </si>
  <si>
    <t>Gateway to Tree Science: D-100/49-80  Row 7</t>
  </si>
  <si>
    <t>19019v25</t>
  </si>
  <si>
    <t>Europe: Y-32/49-41</t>
  </si>
  <si>
    <t>LW 452</t>
  </si>
  <si>
    <t>0049484MOR</t>
  </si>
  <si>
    <t>Tilia cordata Mill. subsp. cordata</t>
  </si>
  <si>
    <t>Ciolac, C</t>
  </si>
  <si>
    <t>Along DuPage River.</t>
  </si>
  <si>
    <t>0049485MOR</t>
  </si>
  <si>
    <t>Tilia Collection; W-54/00-80</t>
  </si>
  <si>
    <t>0049548MOR</t>
  </si>
  <si>
    <t>717V86</t>
  </si>
  <si>
    <t>Near west cloverleaf, N-38/10-10.</t>
  </si>
  <si>
    <t>0049479MOR</t>
  </si>
  <si>
    <t>3650V90</t>
  </si>
  <si>
    <t>Tilia, U-55/40-55</t>
  </si>
  <si>
    <t>0049480MOR</t>
  </si>
  <si>
    <t>3651V90</t>
  </si>
  <si>
    <t>Tilia, U-55/35-25</t>
  </si>
  <si>
    <t>0040419MOR</t>
  </si>
  <si>
    <t>Southwest Cloverleaf, N-38/10-10</t>
  </si>
  <si>
    <t>0040420MOR</t>
  </si>
  <si>
    <t>0099168MOR</t>
  </si>
  <si>
    <t>LW364</t>
  </si>
  <si>
    <t>Propagation: H-30/area (pot in Pot Nursery)</t>
  </si>
  <si>
    <t>0099155MOR</t>
  </si>
  <si>
    <t>LW233</t>
  </si>
  <si>
    <t>Central Europe: DD-34/30-06</t>
  </si>
  <si>
    <t>0099156MOR</t>
  </si>
  <si>
    <t>LW280</t>
  </si>
  <si>
    <t>0099167MOR</t>
  </si>
  <si>
    <t>LW346</t>
  </si>
  <si>
    <t>Appalachia: AA-73/14-53</t>
  </si>
  <si>
    <t>19028v25</t>
  </si>
  <si>
    <t>Europe: DD-34/30-06</t>
  </si>
  <si>
    <t>0071250MOR</t>
  </si>
  <si>
    <t>Tilia cordata subsp. sibirica (M.B.Bayer) Pigott</t>
  </si>
  <si>
    <t>3545V90</t>
  </si>
  <si>
    <t>[AA-55/area]</t>
  </si>
  <si>
    <t>0071251MOR</t>
  </si>
  <si>
    <t>3546V90</t>
  </si>
  <si>
    <t>[Z-55/area]</t>
  </si>
  <si>
    <t>0071217MOR</t>
  </si>
  <si>
    <t>6565V94</t>
  </si>
  <si>
    <t>Tilia Collection, [AA-53/36-78]</t>
  </si>
  <si>
    <t>0071218MOR</t>
  </si>
  <si>
    <t>6720V94</t>
  </si>
  <si>
    <t>0071249MOR</t>
  </si>
  <si>
    <t>6809V94</t>
  </si>
  <si>
    <t>Tiliaceae Collection, [AA-53/36-78]</t>
  </si>
  <si>
    <t>0057742MOR</t>
  </si>
  <si>
    <t>Tilia dasystyla subsp. caucasica (V.Engl.) Pigott</t>
  </si>
  <si>
    <t>13135v11</t>
  </si>
  <si>
    <t>Central &amp; Western Asia: BB-70/50-05</t>
  </si>
  <si>
    <t>0099160MOR</t>
  </si>
  <si>
    <t>LW320</t>
  </si>
  <si>
    <t>0099479MOR</t>
  </si>
  <si>
    <t>16240v19</t>
  </si>
  <si>
    <t>East Tilia: P-88/17-22</t>
  </si>
  <si>
    <t>19020v25</t>
  </si>
  <si>
    <t>Europe: Z-34/43-75</t>
  </si>
  <si>
    <t>LW 610</t>
  </si>
  <si>
    <t>0049566MOR</t>
  </si>
  <si>
    <t>Tilia henryana Szyszyl.</t>
  </si>
  <si>
    <t>Ayers, G</t>
  </si>
  <si>
    <t>8925V99</t>
  </si>
  <si>
    <t>Potted plant in Research Building.</t>
  </si>
  <si>
    <t>0049564MOR</t>
  </si>
  <si>
    <t>Tilia insularis Nakai</t>
  </si>
  <si>
    <t>East side of Arboretum near DuPage River, Y-55/area.</t>
  </si>
  <si>
    <t>0050026MOR</t>
  </si>
  <si>
    <t>1311V87</t>
  </si>
  <si>
    <t>Tiliaceae: Y-55/85-55</t>
  </si>
  <si>
    <t>0049565MOR</t>
  </si>
  <si>
    <t>6726V94</t>
  </si>
  <si>
    <t>Tilia Collection, Y-55/89-51</t>
  </si>
  <si>
    <t>0049563MOR</t>
  </si>
  <si>
    <t>6808V94</t>
  </si>
  <si>
    <t>Tiliaceae Collection, Y-55/89-51</t>
  </si>
  <si>
    <t>0050028MOR</t>
  </si>
  <si>
    <t>Tilia japonica (Miq.) Simonk.</t>
  </si>
  <si>
    <t>Tilia Collection, east of road, V-55/2-7.5</t>
  </si>
  <si>
    <t>0049561MOR</t>
  </si>
  <si>
    <t>Linden collection by DuPage River at Z-55/90-90.</t>
  </si>
  <si>
    <t>0049562MOR</t>
  </si>
  <si>
    <t>Korean group near R-63.</t>
  </si>
  <si>
    <t>0049477MOR</t>
  </si>
  <si>
    <t>Tilia Collection, U-55/00-10, east of road.</t>
  </si>
  <si>
    <t>0050027MOR</t>
  </si>
  <si>
    <t>1309V87</t>
  </si>
  <si>
    <t>Tiliaceae collection Z-55/30-00</t>
  </si>
  <si>
    <t>0050025MOR</t>
  </si>
  <si>
    <t>3655V90</t>
  </si>
  <si>
    <t>Z-55/30-00</t>
  </si>
  <si>
    <t>0050024MOR</t>
  </si>
  <si>
    <t>6727V94</t>
  </si>
  <si>
    <t>Tilia Collection, Z-55/90-90</t>
  </si>
  <si>
    <t>0050021MOR</t>
  </si>
  <si>
    <t>6912V94</t>
  </si>
  <si>
    <t>Korea Collection, R-64/73-14</t>
  </si>
  <si>
    <t>0050023MOR</t>
  </si>
  <si>
    <t>Jarvis, B</t>
  </si>
  <si>
    <t>6902V94</t>
  </si>
  <si>
    <t>Korea Collection, R-63/90-89</t>
  </si>
  <si>
    <t>0050022MOR</t>
  </si>
  <si>
    <t>6911V94</t>
  </si>
  <si>
    <t>Korea Collection, R-64/60-83</t>
  </si>
  <si>
    <t>0050020MOR</t>
  </si>
  <si>
    <t>8924V99</t>
  </si>
  <si>
    <t>0050019MOR</t>
  </si>
  <si>
    <t>9277V01</t>
  </si>
  <si>
    <t>Tilia Collection, V-55/20-75</t>
  </si>
  <si>
    <t>0064263MOR</t>
  </si>
  <si>
    <t>13926v13</t>
  </si>
  <si>
    <t>Japan: AA-58/39-86</t>
  </si>
  <si>
    <t>0064264MOR</t>
  </si>
  <si>
    <t>13927v13</t>
  </si>
  <si>
    <t>Japan: AA-58/46-55</t>
  </si>
  <si>
    <t>0076015MOR</t>
  </si>
  <si>
    <t>Aloian, J</t>
  </si>
  <si>
    <t>14233v14</t>
  </si>
  <si>
    <t>Korea: R-65/73-14</t>
  </si>
  <si>
    <t>0099158MOR</t>
  </si>
  <si>
    <t>LW310</t>
  </si>
  <si>
    <t>Korea: R-64/60-83</t>
  </si>
  <si>
    <t>0099839MOR</t>
  </si>
  <si>
    <t>16170v19</t>
  </si>
  <si>
    <t>East Tilia: O-89/80-15</t>
  </si>
  <si>
    <t>0099466MOR</t>
  </si>
  <si>
    <t>Tilia ledebourii Borbás</t>
  </si>
  <si>
    <t>LW368</t>
  </si>
  <si>
    <t>0099837MOR</t>
  </si>
  <si>
    <t>Tilia mandshurica Rupr. &amp; Maxim.</t>
  </si>
  <si>
    <t>LW322</t>
  </si>
  <si>
    <t>China: CC-69/18-33</t>
  </si>
  <si>
    <t>0050029MOR</t>
  </si>
  <si>
    <t>Tilia maximowicziana Shiras.</t>
  </si>
  <si>
    <t>2793V89</t>
  </si>
  <si>
    <t>Tiliaceae collection Z-55/area</t>
  </si>
  <si>
    <t>0071270MOR</t>
  </si>
  <si>
    <t>Tilia mongolica Maxim.</t>
  </si>
  <si>
    <t>Lesica, P</t>
  </si>
  <si>
    <t>[Street Tree Grp]</t>
  </si>
  <si>
    <t>0071271MOR</t>
  </si>
  <si>
    <t>0071272MOR</t>
  </si>
  <si>
    <t>[Z-54/?]</t>
  </si>
  <si>
    <t>0071269MOR</t>
  </si>
  <si>
    <t>Tree Evaluation Plot, [E-96/Area]</t>
  </si>
  <si>
    <t>0049457MOR</t>
  </si>
  <si>
    <t>Tilia Collection, X-57/45-30, east side of road.</t>
  </si>
  <si>
    <t>0071268MOR</t>
  </si>
  <si>
    <t>Stoynoff, N</t>
  </si>
  <si>
    <t>[Evaluation Plot]</t>
  </si>
  <si>
    <t>0050052MOR</t>
  </si>
  <si>
    <t>3906V90</t>
  </si>
  <si>
    <t>Tilia Collection, X-37/45-30</t>
  </si>
  <si>
    <t>0050051MOR</t>
  </si>
  <si>
    <t>7207V95</t>
  </si>
  <si>
    <t>Tree Evaluation Area, E-96/Area</t>
  </si>
  <si>
    <t>0050050MOR</t>
  </si>
  <si>
    <t>Philip, M</t>
  </si>
  <si>
    <t>Tilia Collection,s.section, V-54/40-85</t>
  </si>
  <si>
    <t>0050049MOR</t>
  </si>
  <si>
    <t>China Collection, EE-65/07-11</t>
  </si>
  <si>
    <t>0050048MOR</t>
  </si>
  <si>
    <t>9063V99</t>
  </si>
  <si>
    <t>0050047MOR</t>
  </si>
  <si>
    <t>9278V01</t>
  </si>
  <si>
    <t>Tiliaceae Collection, V-54/40-85</t>
  </si>
  <si>
    <t>0045000MOR</t>
  </si>
  <si>
    <t>E side, Chinese Collection; EE-65/07-11. Cultivated grounds, l'st level above DuPage River; open areas.</t>
  </si>
  <si>
    <t>0054191MOR</t>
  </si>
  <si>
    <t>11263v08</t>
  </si>
  <si>
    <t>Korea: P-64/84-82</t>
  </si>
  <si>
    <t>0054773MOR</t>
  </si>
  <si>
    <t>11885v09</t>
  </si>
  <si>
    <t>China, central section: BB-65/69-97</t>
  </si>
  <si>
    <t>0055536MOR</t>
  </si>
  <si>
    <t>11691v09</t>
  </si>
  <si>
    <t>China, north section: CC-62/18-94</t>
  </si>
  <si>
    <t>0058002MOR</t>
  </si>
  <si>
    <t>13039v11</t>
  </si>
  <si>
    <t>China BB-65/69-97</t>
  </si>
  <si>
    <t>0064037MOR</t>
  </si>
  <si>
    <t>13907v13</t>
  </si>
  <si>
    <t>Korea: T-67/28-19</t>
  </si>
  <si>
    <t>0064038MOR</t>
  </si>
  <si>
    <t>13908v13</t>
  </si>
  <si>
    <t>Korea: T-66/53-91</t>
  </si>
  <si>
    <t>0083884MOR</t>
  </si>
  <si>
    <t>14536v15</t>
  </si>
  <si>
    <t>China: DD-64/09-00</t>
  </si>
  <si>
    <t>0099484MOR</t>
  </si>
  <si>
    <t>16168v19</t>
  </si>
  <si>
    <t>East Tilia: P-89/07-01</t>
  </si>
  <si>
    <t>0099480MOR</t>
  </si>
  <si>
    <t>16231v19</t>
  </si>
  <si>
    <t>Tilia: V-54/40-85</t>
  </si>
  <si>
    <t>0099838MOR</t>
  </si>
  <si>
    <t>LW324</t>
  </si>
  <si>
    <t>China: BB-65/69-97</t>
  </si>
  <si>
    <t>0101693MOR</t>
  </si>
  <si>
    <t>LW 577</t>
  </si>
  <si>
    <t>China: X-62/54-81</t>
  </si>
  <si>
    <t>16169v19</t>
  </si>
  <si>
    <t>East Tilia: Q-92/25-30</t>
  </si>
  <si>
    <t>0049453MOR</t>
  </si>
  <si>
    <t>Tilia oliveri Szyszyl.</t>
  </si>
  <si>
    <t>Tilia Collection, X-56/Area, on the east side near the DuPage River.</t>
  </si>
  <si>
    <t>0049454MOR</t>
  </si>
  <si>
    <t>Tilia Collection, X-56/00-00, east side of road.</t>
  </si>
  <si>
    <t>0049456MOR</t>
  </si>
  <si>
    <t>Tilia Collection, X-55/15-55, east side of road.</t>
  </si>
  <si>
    <t>0049459MOR</t>
  </si>
  <si>
    <t>3652V90</t>
  </si>
  <si>
    <t>Tilia, X-55/15-55</t>
  </si>
  <si>
    <t>0049450MOR</t>
  </si>
  <si>
    <t>Terrien, D</t>
  </si>
  <si>
    <t>3653V90</t>
  </si>
  <si>
    <t>Tilia, south section: X-56/00-00</t>
  </si>
  <si>
    <t>0071267MOR</t>
  </si>
  <si>
    <t>4705V91</t>
  </si>
  <si>
    <t>Chinese Collection, [AA-65/59-44]</t>
  </si>
  <si>
    <t>0049452MOR</t>
  </si>
  <si>
    <t>5315V92</t>
  </si>
  <si>
    <t>Northeast Asia: CC-41/54-11</t>
  </si>
  <si>
    <t>0049461MOR</t>
  </si>
  <si>
    <t>5887V93</t>
  </si>
  <si>
    <t>Tilia Collection, V-55/15-55</t>
  </si>
  <si>
    <t>0049460MOR</t>
  </si>
  <si>
    <t>5879V93</t>
  </si>
  <si>
    <t>0049449MOR</t>
  </si>
  <si>
    <t>6723V94</t>
  </si>
  <si>
    <t>Tilia, north section: AA-54/26-29</t>
  </si>
  <si>
    <t>0049451MOR</t>
  </si>
  <si>
    <t>8532V98</t>
  </si>
  <si>
    <t>0071266MOR</t>
  </si>
  <si>
    <t>336-69</t>
  </si>
  <si>
    <t>Tiliaceae Collection, [V-57/90-35]</t>
  </si>
  <si>
    <t>0049455MOR</t>
  </si>
  <si>
    <t>9286V01</t>
  </si>
  <si>
    <t>0099162MOR</t>
  </si>
  <si>
    <t>LW325</t>
  </si>
  <si>
    <t>China: AA-65/59-44</t>
  </si>
  <si>
    <t>0099166MOR</t>
  </si>
  <si>
    <t>Tilia paucicostata Maxim.</t>
  </si>
  <si>
    <t>LW337</t>
  </si>
  <si>
    <t>East Tilia: O-87/02-72</t>
  </si>
  <si>
    <t>0099163MOR</t>
  </si>
  <si>
    <t>Tilia paucicostata var. dictyoneura (V.Engl. ex C.K.Schneid.) H.T.Chang &amp; R.H.Miao</t>
  </si>
  <si>
    <t>LW327</t>
  </si>
  <si>
    <t>China: CC-66/81-41</t>
  </si>
  <si>
    <t>0071312MOR</t>
  </si>
  <si>
    <t>Tilia platyphyllos 'Laciniata'</t>
  </si>
  <si>
    <t>Swink, FA</t>
  </si>
  <si>
    <t>[V-55/45-55]</t>
  </si>
  <si>
    <t>0071313MOR</t>
  </si>
  <si>
    <t>Eickhorst, W</t>
  </si>
  <si>
    <t>[K-26-41]</t>
  </si>
  <si>
    <t>0071314MOR</t>
  </si>
  <si>
    <t>[Near Salix Grp]</t>
  </si>
  <si>
    <t>0071311MOR</t>
  </si>
  <si>
    <t>3649V90</t>
  </si>
  <si>
    <t>Tilia: V-55</t>
  </si>
  <si>
    <t>0071315MOR</t>
  </si>
  <si>
    <t>5897V93</t>
  </si>
  <si>
    <t>Tilia Collection, [V-55/45-30]</t>
  </si>
  <si>
    <t>0071316MOR</t>
  </si>
  <si>
    <t>5885V93</t>
  </si>
  <si>
    <t>Tilia Collection, [V-55/50-15]</t>
  </si>
  <si>
    <t>0071309MOR</t>
  </si>
  <si>
    <t>5884V93</t>
  </si>
  <si>
    <t>Tilia Collection, [V-55/90-30]</t>
  </si>
  <si>
    <t>0071308MOR</t>
  </si>
  <si>
    <t>5883V93</t>
  </si>
  <si>
    <t>Tilia Collection, [V-55/45-55]</t>
  </si>
  <si>
    <t>0065605MOR</t>
  </si>
  <si>
    <t>13954v13</t>
  </si>
  <si>
    <t>Tilia: V-56/45-30</t>
  </si>
  <si>
    <t>0071273MOR</t>
  </si>
  <si>
    <t>Tilia platyphyllos 'Orebro'</t>
  </si>
  <si>
    <t>1221V87</t>
  </si>
  <si>
    <t>Tiliaceae Col., Morton Arb., [Z-51/50-70]</t>
  </si>
  <si>
    <t>0071274MOR</t>
  </si>
  <si>
    <t>3520V90</t>
  </si>
  <si>
    <t>[Z-51/50-70]</t>
  </si>
  <si>
    <t>0071275MOR</t>
  </si>
  <si>
    <t>6569V94</t>
  </si>
  <si>
    <t>Tilia Collection, [Z-50/30-95]</t>
  </si>
  <si>
    <t>0065598MOR</t>
  </si>
  <si>
    <t>13925v13</t>
  </si>
  <si>
    <t>Tilia: Z-50/30-95</t>
  </si>
  <si>
    <t>0071278MOR</t>
  </si>
  <si>
    <t>Tilia platyphyllos 'Pyramidalis'</t>
  </si>
  <si>
    <t>[H-66/80-00]</t>
  </si>
  <si>
    <t>0071276MOR</t>
  </si>
  <si>
    <t>0071282MOR</t>
  </si>
  <si>
    <t>0071277MOR</t>
  </si>
  <si>
    <t>291V84</t>
  </si>
  <si>
    <t>[J-45/25-10]</t>
  </si>
  <si>
    <t>0060934MOR</t>
  </si>
  <si>
    <t>1188V87</t>
  </si>
  <si>
    <t>Ozarks: S-24/Area</t>
  </si>
  <si>
    <t>0071279MOR</t>
  </si>
  <si>
    <t>5892V93</t>
  </si>
  <si>
    <t>Tilia Collection, [VW-57/25-55]</t>
  </si>
  <si>
    <t>0071280MOR</t>
  </si>
  <si>
    <t>7265V95</t>
  </si>
  <si>
    <t>Columnar Collection, [H-66/80-00]</t>
  </si>
  <si>
    <t>0071281MOR</t>
  </si>
  <si>
    <t>Linden, M</t>
  </si>
  <si>
    <t>7471V96</t>
  </si>
  <si>
    <t>Ground Cover Garden, [J-45/25-10]</t>
  </si>
  <si>
    <t>0060933MOR</t>
  </si>
  <si>
    <t>8208V97</t>
  </si>
  <si>
    <t>Ozarks Collection: S-25/35-77</t>
  </si>
  <si>
    <t>0060936MOR</t>
  </si>
  <si>
    <t>Tilia platyphyllos 'Rubra'</t>
  </si>
  <si>
    <t>Tiliaceae: V-55/80-80</t>
  </si>
  <si>
    <t>0060935MOR</t>
  </si>
  <si>
    <t>1569V87</t>
  </si>
  <si>
    <t>Tiliaceae: W-55/25-95</t>
  </si>
  <si>
    <t>0060937MOR</t>
  </si>
  <si>
    <t>5880V93</t>
  </si>
  <si>
    <t>Tiliaceae: W-55/65-95</t>
  </si>
  <si>
    <t>0071317MOR</t>
  </si>
  <si>
    <t>Tilia platyphyllos 'Vitifolia'</t>
  </si>
  <si>
    <t>6712V94</t>
  </si>
  <si>
    <t>Aesculus Collection, [K-88/50-05]</t>
  </si>
  <si>
    <t>0071306MOR</t>
  </si>
  <si>
    <t>Tilia platyphyllos Scop.</t>
  </si>
  <si>
    <t>[W-57/85-20]</t>
  </si>
  <si>
    <t>0071305MOR</t>
  </si>
  <si>
    <t>[X-56/05-85]</t>
  </si>
  <si>
    <t>0071304MOR</t>
  </si>
  <si>
    <t>0071300MOR</t>
  </si>
  <si>
    <t>Tilia Collection, [W-57/85-20]</t>
  </si>
  <si>
    <t>0071302MOR</t>
  </si>
  <si>
    <t>Tilia Collection, [Z-52/6-0]</t>
  </si>
  <si>
    <t>0071301MOR</t>
  </si>
  <si>
    <t>Tilia Collection, [AA-55/0-5]</t>
  </si>
  <si>
    <t>0071303MOR</t>
  </si>
  <si>
    <t>[E. of road]</t>
  </si>
  <si>
    <t>0071299MOR</t>
  </si>
  <si>
    <t>1326V87</t>
  </si>
  <si>
    <t>[T-47/60-00]</t>
  </si>
  <si>
    <t>0071294MOR</t>
  </si>
  <si>
    <t>1325V87</t>
  </si>
  <si>
    <t>[T-47/30-10]</t>
  </si>
  <si>
    <t>0071298MOR</t>
  </si>
  <si>
    <t>1310V87</t>
  </si>
  <si>
    <t>[Z-55/30-35]</t>
  </si>
  <si>
    <t>0071297MOR</t>
  </si>
  <si>
    <t>1306V87</t>
  </si>
  <si>
    <t>[Z-5260-00]</t>
  </si>
  <si>
    <t>0071295MOR</t>
  </si>
  <si>
    <t>1519V87</t>
  </si>
  <si>
    <t>[M-35/30-00]</t>
  </si>
  <si>
    <t>0071296MOR</t>
  </si>
  <si>
    <t>1222V87</t>
  </si>
  <si>
    <t>[Z-52/60-00]</t>
  </si>
  <si>
    <t>0071293MOR</t>
  </si>
  <si>
    <t>1570V87</t>
  </si>
  <si>
    <t>[W-55/50-65]</t>
  </si>
  <si>
    <t>0071292MOR</t>
  </si>
  <si>
    <t>1568V87</t>
  </si>
  <si>
    <t>[V-55/80-80]</t>
  </si>
  <si>
    <t>0071307MOR</t>
  </si>
  <si>
    <t>1565V87</t>
  </si>
  <si>
    <t>[V-56/80-65]</t>
  </si>
  <si>
    <t>0071286MOR</t>
  </si>
  <si>
    <t>3366V90</t>
  </si>
  <si>
    <t>[N-32/90-25]</t>
  </si>
  <si>
    <t>0071289MOR</t>
  </si>
  <si>
    <t>3519V90</t>
  </si>
  <si>
    <t>Z-52/60-00</t>
  </si>
  <si>
    <t>0071290MOR</t>
  </si>
  <si>
    <t>3541V90</t>
  </si>
  <si>
    <t>0071287MOR</t>
  </si>
  <si>
    <t>3543V90</t>
  </si>
  <si>
    <t>[AA-55/00-50]</t>
  </si>
  <si>
    <t>0071288MOR</t>
  </si>
  <si>
    <t>3542V90</t>
  </si>
  <si>
    <t>0071283MOR</t>
  </si>
  <si>
    <t>in Godshalk Meadow, [M-35/30-00]</t>
  </si>
  <si>
    <t>0071291MOR</t>
  </si>
  <si>
    <t>4840V91</t>
  </si>
  <si>
    <t>near Meadow Lake, [T-47/30-10]</t>
  </si>
  <si>
    <t>0071284MOR</t>
  </si>
  <si>
    <t>4856V91</t>
  </si>
  <si>
    <t>Tiliaceae Collection, [AA-55/00-50]</t>
  </si>
  <si>
    <t>0071265MOR</t>
  </si>
  <si>
    <t>5850V93</t>
  </si>
  <si>
    <t>Godshalk Meadow, [N-32/90-25]</t>
  </si>
  <si>
    <t>0071264MOR</t>
  </si>
  <si>
    <t>5849V93</t>
  </si>
  <si>
    <t>Godshalk Meadow, [N-30/50-90]</t>
  </si>
  <si>
    <t>0071260MOR</t>
  </si>
  <si>
    <t>5895V93</t>
  </si>
  <si>
    <t>0071259MOR</t>
  </si>
  <si>
    <t>5896V93</t>
  </si>
  <si>
    <t>Tilia Collection, [V-56/80-65]</t>
  </si>
  <si>
    <t>0071263MOR</t>
  </si>
  <si>
    <t>5900V93</t>
  </si>
  <si>
    <t>Tilia Collection, [X-56/05-85]</t>
  </si>
  <si>
    <t>0071261MOR</t>
  </si>
  <si>
    <t>5886V93</t>
  </si>
  <si>
    <t>Tilia Collection, [V-55/50-65]</t>
  </si>
  <si>
    <t>0071258MOR</t>
  </si>
  <si>
    <t>5882V93</t>
  </si>
  <si>
    <t>Tilia Collection, [V-55/80-80]</t>
  </si>
  <si>
    <t>0071262MOR</t>
  </si>
  <si>
    <t>5876V93</t>
  </si>
  <si>
    <t>Tilia Collection, [Z-55/30-35]</t>
  </si>
  <si>
    <t>0071256MOR</t>
  </si>
  <si>
    <t>6568V94</t>
  </si>
  <si>
    <t>Tilia Collection, [Z-52/60-00]</t>
  </si>
  <si>
    <t>0071254MOR</t>
  </si>
  <si>
    <t>6618V94</t>
  </si>
  <si>
    <t>Tilia Collection, [W-55/50-65]</t>
  </si>
  <si>
    <t>0071257MOR</t>
  </si>
  <si>
    <t>6733V94</t>
  </si>
  <si>
    <t>Tree Evaluation Plot Row 13, [E-96/Area]</t>
  </si>
  <si>
    <t>0071253MOR</t>
  </si>
  <si>
    <t>6728V94</t>
  </si>
  <si>
    <t>Tilia Collection, [AA-55/00-50]</t>
  </si>
  <si>
    <t>0071252MOR</t>
  </si>
  <si>
    <t>6608V94</t>
  </si>
  <si>
    <t>0071285MOR</t>
  </si>
  <si>
    <t>Rossi, E</t>
  </si>
  <si>
    <t>Oleaceae Collection, [N-32/90-25]</t>
  </si>
  <si>
    <t>0040401MOR</t>
  </si>
  <si>
    <t>N-32/92-28 Godshalk Meadow</t>
  </si>
  <si>
    <t>0050165MOR</t>
  </si>
  <si>
    <t>Shroll, E</t>
  </si>
  <si>
    <t>10189V05</t>
  </si>
  <si>
    <t>Godshalk Meadow, north side: N-30/59-95</t>
  </si>
  <si>
    <t>0099475MOR</t>
  </si>
  <si>
    <t>16229v19</t>
  </si>
  <si>
    <t>Central Europe: DD-34/05-82</t>
  </si>
  <si>
    <t>0049521MOR</t>
  </si>
  <si>
    <t>Tilia platyphyllos subsp. cordifolia (Besser) C.K.Schneid. [1]</t>
  </si>
  <si>
    <t>Alnus Loop, O-30/70-30</t>
  </si>
  <si>
    <t>0049519MOR</t>
  </si>
  <si>
    <t>5862V93</t>
  </si>
  <si>
    <t>Alnus Collection, 0-30/90-85</t>
  </si>
  <si>
    <t>0049520MOR</t>
  </si>
  <si>
    <t>5861V93</t>
  </si>
  <si>
    <t>Alnus Collection, O-29/20-25</t>
  </si>
  <si>
    <t>0049518MOR</t>
  </si>
  <si>
    <t>Wise, R</t>
  </si>
  <si>
    <t>8230V97</t>
  </si>
  <si>
    <t>West DuPage River Collection, O-30/9-85</t>
  </si>
  <si>
    <t>0100249MOR</t>
  </si>
  <si>
    <t>Tilia platyphyllos subsp. corinthiaca (Bosc ex K.Koch) Pigott</t>
  </si>
  <si>
    <t>LW403</t>
  </si>
  <si>
    <t>Tilia: Z-51/50-70</t>
  </si>
  <si>
    <t>0099157MOR</t>
  </si>
  <si>
    <t>Tilia platyphyllos subsp. platyphyllos</t>
  </si>
  <si>
    <t>LW281</t>
  </si>
  <si>
    <t>Central Europe: Z-33/43-60</t>
  </si>
  <si>
    <t>0099476MOR</t>
  </si>
  <si>
    <t>16230v19</t>
  </si>
  <si>
    <t>Ozark: S-25/35-77</t>
  </si>
  <si>
    <t>0112567MOR</t>
  </si>
  <si>
    <t>Chen, S</t>
  </si>
  <si>
    <t>18865v25</t>
  </si>
  <si>
    <t>Europe: Z-33/43-60</t>
  </si>
  <si>
    <t>0071408MOR</t>
  </si>
  <si>
    <t>Tilia tomentosa 'Erecta'</t>
  </si>
  <si>
    <t>Tiliaceae Collection, [X-57/45-30]</t>
  </si>
  <si>
    <t>0071406MOR</t>
  </si>
  <si>
    <t>667V85</t>
  </si>
  <si>
    <t>[X-57/30-75]</t>
  </si>
  <si>
    <t>0071409MOR</t>
  </si>
  <si>
    <t>6626V94</t>
  </si>
  <si>
    <t>Tilia Collection, [X-57/65-80]</t>
  </si>
  <si>
    <t>0071410MOR</t>
  </si>
  <si>
    <t>7593V96</t>
  </si>
  <si>
    <t>n. side parking lot 1, [R-45/55-88]</t>
  </si>
  <si>
    <t>0071411MOR</t>
  </si>
  <si>
    <t>Tilia Collection,n.section, [X-57/65-80]</t>
  </si>
  <si>
    <t>0071412MOR</t>
  </si>
  <si>
    <t>Tilia tomentosa 'Pendula'</t>
  </si>
  <si>
    <t>1518V87</t>
  </si>
  <si>
    <t>[M-35/80-60]</t>
  </si>
  <si>
    <t>0064261MOR</t>
  </si>
  <si>
    <t>13921v13</t>
  </si>
  <si>
    <t>Tilia: AA-53/57-27</t>
  </si>
  <si>
    <t>0057709MOR</t>
  </si>
  <si>
    <t>Tilia tomentosa 'Sterling'</t>
  </si>
  <si>
    <t>13106v11</t>
  </si>
  <si>
    <t>Childrens Garden: J-50/15-98</t>
  </si>
  <si>
    <t>0101694MOR</t>
  </si>
  <si>
    <t>LW 576</t>
  </si>
  <si>
    <t>Gateway to Tree Science: F-101/34-25</t>
  </si>
  <si>
    <t>0112598MOR</t>
  </si>
  <si>
    <t>18877v25</t>
  </si>
  <si>
    <t>Children's Garden: Windmill Garden: J-50/07-99</t>
  </si>
  <si>
    <t>0071401MOR</t>
  </si>
  <si>
    <t>Tilia tomentosa Moench</t>
  </si>
  <si>
    <t>Tilia Collection, [U-54/55-15]</t>
  </si>
  <si>
    <t>0071404MOR</t>
  </si>
  <si>
    <t>[U-54/5.5-1.5]</t>
  </si>
  <si>
    <t>0071405MOR</t>
  </si>
  <si>
    <t>0071402MOR</t>
  </si>
  <si>
    <t>[U-54]</t>
  </si>
  <si>
    <t>0071400MOR</t>
  </si>
  <si>
    <t>Tilia Collection, [U-54/50-15]</t>
  </si>
  <si>
    <t>0071397MOR</t>
  </si>
  <si>
    <t>1328V87</t>
  </si>
  <si>
    <t>[S-47/60-70]</t>
  </si>
  <si>
    <t>0071398MOR</t>
  </si>
  <si>
    <t>1327V87</t>
  </si>
  <si>
    <t>[T-47/25-75]</t>
  </si>
  <si>
    <t>0071399MOR</t>
  </si>
  <si>
    <t>1498V87</t>
  </si>
  <si>
    <t>[M41/35-75]</t>
  </si>
  <si>
    <t>0071394MOR</t>
  </si>
  <si>
    <t>3578V90</t>
  </si>
  <si>
    <t>[M-41/35-75]</t>
  </si>
  <si>
    <t>0071396MOR</t>
  </si>
  <si>
    <t>Tilia Collection, [U-54/45-50]</t>
  </si>
  <si>
    <t>0071393MOR</t>
  </si>
  <si>
    <t>In Tilia Collection, [U-54/55-15]</t>
  </si>
  <si>
    <t>0071407MOR</t>
  </si>
  <si>
    <t>Near parking, [R-45/50-85]</t>
  </si>
  <si>
    <t>0071395MOR</t>
  </si>
  <si>
    <t>6794V94</t>
  </si>
  <si>
    <t>Tiliaceae Collection, [U-54/45-50]</t>
  </si>
  <si>
    <t>0071319MOR</t>
  </si>
  <si>
    <t>Display Area, [B-45/Area]</t>
  </si>
  <si>
    <t>0071318MOR</t>
  </si>
  <si>
    <t>Tilia Collection,s.section, [U-54/45-50]</t>
  </si>
  <si>
    <t>0071320MOR</t>
  </si>
  <si>
    <t>9260V01</t>
  </si>
  <si>
    <t>Godshalk Meadow, [O-34/85-00]</t>
  </si>
  <si>
    <t>0040385MOR</t>
  </si>
  <si>
    <t>II-72/46-50 Balkan, N section</t>
  </si>
  <si>
    <t>0057570MOR</t>
  </si>
  <si>
    <t>13243v11</t>
  </si>
  <si>
    <t>Display: D-44/75-19</t>
  </si>
  <si>
    <t>0065631MOR</t>
  </si>
  <si>
    <t>13889v13</t>
  </si>
  <si>
    <t>Tilia: AA-55/82-66</t>
  </si>
  <si>
    <t>0099161MOR</t>
  </si>
  <si>
    <t>LW323</t>
  </si>
  <si>
    <t>Central &amp; Western Asia: CC-68/61-96</t>
  </si>
  <si>
    <t>0099478MOR</t>
  </si>
  <si>
    <t>16241v19</t>
  </si>
  <si>
    <t>Tilia: U-54/45-50</t>
  </si>
  <si>
    <t>0071414MOR</t>
  </si>
  <si>
    <t>Tilia tuan Szyszyl.</t>
  </si>
  <si>
    <t>4854V91</t>
  </si>
  <si>
    <t>Tiliaceae Collection, [AA-54/59-37]</t>
  </si>
  <si>
    <t>0071413MOR</t>
  </si>
  <si>
    <t>6722V94</t>
  </si>
  <si>
    <t>Tilia Collection, [AA-54/59-37]</t>
  </si>
  <si>
    <t>0071415MOR</t>
  </si>
  <si>
    <t>6807V94</t>
  </si>
  <si>
    <t>0064061MOR</t>
  </si>
  <si>
    <t>13935v13</t>
  </si>
  <si>
    <t>China: BB-69/88-54</t>
  </si>
  <si>
    <t>0060916MOR</t>
  </si>
  <si>
    <t>Tilia tuan var. chinensis (Szyszyl.) Rehder &amp; E.H.Wilson</t>
  </si>
  <si>
    <t>Tilia Collection: Z-55/Area. On east side near the DuPage River.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</si>
</sst>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"/>
  </numFmts>
  <fonts count="7" x14ac:knownFonts="1">
    <font>
      <sz val="10"/>
      <color rgb="FF000000"/>
      <name val="Aptos Narrow"/>
      <scheme val="minor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00FF00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10" fontId="6" fillId="0" borderId="0" xfId="0" applyNumberFormat="1" applyFont="1"/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6" fillId="0" borderId="0" xfId="0" applyFont="1"/>
    <xf numFmtId="164" fontId="4" fillId="0" borderId="0" xfId="0" applyNumberFormat="1" applyFont="1"/>
    <xf numFmtId="0" fontId="4" fillId="6" borderId="0" xfId="0" applyFont="1" applyFill="1" applyAlignment="1">
      <alignment horizontal="right"/>
    </xf>
    <xf numFmtId="0" fontId="4" fillId="6" borderId="0" xfId="0" applyFont="1" applyFill="1"/>
    <xf numFmtId="0" fontId="5" fillId="6" borderId="0" xfId="0" applyFont="1" applyFill="1"/>
    <xf numFmtId="0" fontId="6" fillId="6" borderId="0" xfId="0" applyFont="1" applyFill="1"/>
    <xf numFmtId="10" fontId="6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CFB16-7927-2A41-97D0-BAA521054CA2}">
  <sheetPr>
    <outlinePr summaryBelow="0" summaryRight="0"/>
  </sheetPr>
  <dimension ref="A1:S898"/>
  <sheetViews>
    <sheetView tabSelected="1" workbookViewId="0"/>
  </sheetViews>
  <sheetFormatPr baseColWidth="10" defaultColWidth="15.19921875" defaultRowHeight="15.75" customHeight="1" x14ac:dyDescent="0.2"/>
  <cols>
    <col min="3" max="3" width="27.796875" customWidth="1"/>
    <col min="4" max="7" width="26.59765625" customWidth="1"/>
    <col min="8" max="8" width="8.59765625" customWidth="1"/>
    <col min="9" max="9" width="8.19921875" customWidth="1"/>
    <col min="10" max="10" width="12.3984375" customWidth="1"/>
    <col min="11" max="19" width="26.59765625" customWidth="1"/>
  </cols>
  <sheetData>
    <row r="1" spans="1:19" ht="16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3" t="s">
        <v>18</v>
      </c>
    </row>
    <row r="2" spans="1:19" ht="16" x14ac:dyDescent="0.2">
      <c r="A2" s="4">
        <v>74187</v>
      </c>
      <c r="B2" s="5" t="s">
        <v>19</v>
      </c>
      <c r="C2" s="5" t="s">
        <v>20</v>
      </c>
      <c r="D2" s="5" t="s">
        <v>21</v>
      </c>
      <c r="E2" s="5" t="s">
        <v>21</v>
      </c>
      <c r="F2" s="5" t="s">
        <v>22</v>
      </c>
      <c r="G2" s="5" t="s">
        <v>23</v>
      </c>
      <c r="H2" s="4">
        <v>8</v>
      </c>
      <c r="I2" s="4">
        <v>7</v>
      </c>
      <c r="J2" s="4">
        <v>1987</v>
      </c>
      <c r="K2" s="5" t="s">
        <v>24</v>
      </c>
      <c r="L2" s="6" t="s">
        <v>25</v>
      </c>
      <c r="M2" s="5">
        <v>0</v>
      </c>
      <c r="N2" s="5">
        <v>0</v>
      </c>
      <c r="O2" s="5">
        <v>24</v>
      </c>
      <c r="P2" s="5"/>
      <c r="Q2" s="7">
        <f t="shared" ref="Q2:Q256" si="0">(M2/(M2+ N2 +O2))</f>
        <v>0</v>
      </c>
      <c r="R2" s="7">
        <f t="shared" ref="R2:R256" si="1">(N2/(M2+ N2 +O2))</f>
        <v>0</v>
      </c>
      <c r="S2" s="7">
        <f t="shared" ref="S2:S256" si="2">(O2/(M2+ N2 +O2))</f>
        <v>1</v>
      </c>
    </row>
    <row r="3" spans="1:19" ht="17.25" customHeight="1" x14ac:dyDescent="0.2">
      <c r="A3" s="4">
        <v>89954</v>
      </c>
      <c r="B3" s="5" t="s">
        <v>26</v>
      </c>
      <c r="C3" s="5" t="s">
        <v>20</v>
      </c>
      <c r="D3" s="5" t="s">
        <v>21</v>
      </c>
      <c r="E3" s="5" t="s">
        <v>21</v>
      </c>
      <c r="F3" s="5" t="s">
        <v>27</v>
      </c>
      <c r="G3" s="5" t="s">
        <v>28</v>
      </c>
      <c r="H3" s="4">
        <v>13</v>
      </c>
      <c r="I3" s="4">
        <v>7</v>
      </c>
      <c r="J3" s="4">
        <v>1989</v>
      </c>
      <c r="K3" s="5" t="s">
        <v>29</v>
      </c>
      <c r="L3" s="6" t="s">
        <v>25</v>
      </c>
      <c r="M3" s="5">
        <v>0</v>
      </c>
      <c r="N3" s="5">
        <v>1</v>
      </c>
      <c r="O3" s="5">
        <v>16</v>
      </c>
      <c r="P3" s="5"/>
      <c r="Q3" s="7">
        <f t="shared" si="0"/>
        <v>0</v>
      </c>
      <c r="R3" s="7">
        <f t="shared" si="1"/>
        <v>5.8823529411764705E-2</v>
      </c>
      <c r="S3" s="7">
        <f t="shared" si="2"/>
        <v>0.94117647058823528</v>
      </c>
    </row>
    <row r="4" spans="1:19" ht="16" x14ac:dyDescent="0.2">
      <c r="A4" s="4">
        <v>137468</v>
      </c>
      <c r="B4" s="5" t="s">
        <v>30</v>
      </c>
      <c r="C4" s="5" t="s">
        <v>20</v>
      </c>
      <c r="D4" s="5" t="s">
        <v>21</v>
      </c>
      <c r="E4" s="5" t="s">
        <v>21</v>
      </c>
      <c r="F4" s="5" t="s">
        <v>31</v>
      </c>
      <c r="G4" s="5" t="s">
        <v>32</v>
      </c>
      <c r="H4" s="4">
        <v>4</v>
      </c>
      <c r="I4" s="4">
        <v>8</v>
      </c>
      <c r="J4" s="4">
        <v>1997</v>
      </c>
      <c r="K4" s="5" t="s">
        <v>33</v>
      </c>
      <c r="L4" s="6" t="s">
        <v>25</v>
      </c>
      <c r="M4" s="5">
        <v>0</v>
      </c>
      <c r="N4" s="5">
        <v>0</v>
      </c>
      <c r="O4" s="5">
        <v>3</v>
      </c>
      <c r="P4" s="5"/>
      <c r="Q4" s="7">
        <f t="shared" si="0"/>
        <v>0</v>
      </c>
      <c r="R4" s="7">
        <f t="shared" si="1"/>
        <v>0</v>
      </c>
      <c r="S4" s="7">
        <f t="shared" si="2"/>
        <v>1</v>
      </c>
    </row>
    <row r="5" spans="1:19" ht="16" x14ac:dyDescent="0.2">
      <c r="A5" s="4">
        <v>177676</v>
      </c>
      <c r="B5" s="5" t="s">
        <v>34</v>
      </c>
      <c r="C5" s="5" t="s">
        <v>20</v>
      </c>
      <c r="D5" s="5" t="s">
        <v>21</v>
      </c>
      <c r="E5" s="5" t="s">
        <v>21</v>
      </c>
      <c r="F5" s="5" t="s">
        <v>35</v>
      </c>
      <c r="G5" s="5" t="s">
        <v>36</v>
      </c>
      <c r="H5" s="4">
        <v>15</v>
      </c>
      <c r="I5" s="4">
        <v>8</v>
      </c>
      <c r="J5" s="4">
        <v>2013</v>
      </c>
      <c r="K5" s="5" t="s">
        <v>37</v>
      </c>
      <c r="L5" s="6" t="s">
        <v>25</v>
      </c>
      <c r="M5" s="5">
        <v>0</v>
      </c>
      <c r="N5" s="5">
        <v>0</v>
      </c>
      <c r="O5" s="5">
        <v>0</v>
      </c>
      <c r="P5" s="5"/>
      <c r="Q5" s="7" t="e">
        <f t="shared" si="0"/>
        <v>#DIV/0!</v>
      </c>
      <c r="R5" s="7" t="e">
        <f t="shared" si="1"/>
        <v>#DIV/0!</v>
      </c>
      <c r="S5" s="7" t="e">
        <f t="shared" si="2"/>
        <v>#DIV/0!</v>
      </c>
    </row>
    <row r="6" spans="1:19" ht="16" x14ac:dyDescent="0.2">
      <c r="A6" s="4">
        <v>186495</v>
      </c>
      <c r="B6" s="5" t="s">
        <v>38</v>
      </c>
      <c r="C6" s="5" t="s">
        <v>39</v>
      </c>
      <c r="D6" s="5"/>
      <c r="E6" s="5"/>
      <c r="F6" s="5" t="s">
        <v>35</v>
      </c>
      <c r="G6" s="5" t="s">
        <v>40</v>
      </c>
      <c r="H6" s="4">
        <v>4</v>
      </c>
      <c r="I6" s="4">
        <v>10</v>
      </c>
      <c r="J6" s="4">
        <v>2018</v>
      </c>
      <c r="K6" s="5" t="s">
        <v>41</v>
      </c>
      <c r="L6" s="6" t="s">
        <v>25</v>
      </c>
      <c r="M6" s="5">
        <v>0</v>
      </c>
      <c r="N6" s="5">
        <v>0</v>
      </c>
      <c r="O6" s="5">
        <v>2</v>
      </c>
      <c r="P6" s="5"/>
      <c r="Q6" s="7">
        <f t="shared" si="0"/>
        <v>0</v>
      </c>
      <c r="R6" s="7">
        <f t="shared" si="1"/>
        <v>0</v>
      </c>
      <c r="S6" s="7">
        <f t="shared" si="2"/>
        <v>1</v>
      </c>
    </row>
    <row r="7" spans="1:19" ht="16" x14ac:dyDescent="0.2">
      <c r="A7" s="4">
        <v>187352</v>
      </c>
      <c r="B7" s="5" t="s">
        <v>42</v>
      </c>
      <c r="C7" s="5" t="s">
        <v>39</v>
      </c>
      <c r="D7" s="5"/>
      <c r="E7" s="5"/>
      <c r="F7" s="5" t="s">
        <v>43</v>
      </c>
      <c r="G7" s="5" t="s">
        <v>44</v>
      </c>
      <c r="H7" s="4">
        <v>12</v>
      </c>
      <c r="I7" s="4">
        <v>7</v>
      </c>
      <c r="J7" s="4">
        <v>2019</v>
      </c>
      <c r="K7" s="5" t="s">
        <v>41</v>
      </c>
      <c r="L7" s="6" t="s">
        <v>25</v>
      </c>
      <c r="M7" s="5">
        <v>0</v>
      </c>
      <c r="N7" s="5">
        <v>35</v>
      </c>
      <c r="O7" s="5">
        <v>20</v>
      </c>
      <c r="P7" s="5"/>
      <c r="Q7" s="7">
        <f t="shared" si="0"/>
        <v>0</v>
      </c>
      <c r="R7" s="7">
        <f t="shared" si="1"/>
        <v>0.63636363636363635</v>
      </c>
      <c r="S7" s="7">
        <f t="shared" si="2"/>
        <v>0.36363636363636365</v>
      </c>
    </row>
    <row r="8" spans="1:19" ht="16" x14ac:dyDescent="0.2">
      <c r="A8" s="4">
        <v>190618</v>
      </c>
      <c r="B8" s="5" t="s">
        <v>45</v>
      </c>
      <c r="C8" s="5" t="s">
        <v>46</v>
      </c>
      <c r="D8" s="5"/>
      <c r="E8" s="5"/>
      <c r="F8" s="5" t="s">
        <v>47</v>
      </c>
      <c r="G8" s="5" t="s">
        <v>48</v>
      </c>
      <c r="H8" s="4">
        <v>25</v>
      </c>
      <c r="I8" s="4">
        <v>9</v>
      </c>
      <c r="J8" s="4">
        <v>2020</v>
      </c>
      <c r="K8" s="5" t="s">
        <v>49</v>
      </c>
      <c r="L8" s="6" t="s">
        <v>25</v>
      </c>
      <c r="M8" s="5">
        <v>0</v>
      </c>
      <c r="N8" s="5">
        <v>0</v>
      </c>
      <c r="O8" s="5">
        <v>0</v>
      </c>
      <c r="P8" s="5"/>
      <c r="Q8" s="7" t="e">
        <f t="shared" si="0"/>
        <v>#DIV/0!</v>
      </c>
      <c r="R8" s="7" t="e">
        <f t="shared" si="1"/>
        <v>#DIV/0!</v>
      </c>
      <c r="S8" s="7" t="e">
        <f t="shared" si="2"/>
        <v>#DIV/0!</v>
      </c>
    </row>
    <row r="9" spans="1:19" ht="16" x14ac:dyDescent="0.2">
      <c r="A9" s="4">
        <v>66481</v>
      </c>
      <c r="B9" s="5" t="s">
        <v>50</v>
      </c>
      <c r="C9" s="5" t="s">
        <v>51</v>
      </c>
      <c r="D9" s="5"/>
      <c r="E9" s="5"/>
      <c r="F9" s="5" t="s">
        <v>22</v>
      </c>
      <c r="G9" s="5" t="s">
        <v>52</v>
      </c>
      <c r="H9" s="4">
        <v>21</v>
      </c>
      <c r="I9" s="4">
        <v>6</v>
      </c>
      <c r="J9" s="4">
        <v>1984</v>
      </c>
      <c r="K9" s="5" t="s">
        <v>53</v>
      </c>
      <c r="L9" s="6" t="s">
        <v>25</v>
      </c>
      <c r="M9" s="5">
        <v>7</v>
      </c>
      <c r="N9" s="5">
        <v>52</v>
      </c>
      <c r="O9" s="5">
        <v>7</v>
      </c>
      <c r="P9" s="5"/>
      <c r="Q9" s="7">
        <f t="shared" si="0"/>
        <v>0.10606060606060606</v>
      </c>
      <c r="R9" s="7">
        <f t="shared" si="1"/>
        <v>0.78787878787878785</v>
      </c>
      <c r="S9" s="7">
        <f t="shared" si="2"/>
        <v>0.10606060606060606</v>
      </c>
    </row>
    <row r="10" spans="1:19" ht="16" x14ac:dyDescent="0.2">
      <c r="A10" s="4">
        <v>73911</v>
      </c>
      <c r="B10" s="8" t="s">
        <v>54</v>
      </c>
      <c r="C10" s="8" t="s">
        <v>51</v>
      </c>
      <c r="D10" s="5"/>
      <c r="E10" s="5"/>
      <c r="F10" s="8" t="s">
        <v>22</v>
      </c>
      <c r="G10" s="8" t="s">
        <v>55</v>
      </c>
      <c r="H10" s="9">
        <v>25</v>
      </c>
      <c r="I10" s="9">
        <v>7</v>
      </c>
      <c r="J10" s="9">
        <v>1987</v>
      </c>
      <c r="K10" s="5" t="s">
        <v>56</v>
      </c>
      <c r="L10" s="6" t="s">
        <v>25</v>
      </c>
      <c r="M10" s="5">
        <v>0</v>
      </c>
      <c r="N10" s="5">
        <v>0</v>
      </c>
      <c r="O10" s="5">
        <v>2</v>
      </c>
      <c r="P10" s="5"/>
      <c r="Q10" s="7">
        <f t="shared" si="0"/>
        <v>0</v>
      </c>
      <c r="R10" s="7">
        <f t="shared" si="1"/>
        <v>0</v>
      </c>
      <c r="S10" s="7">
        <f t="shared" si="2"/>
        <v>1</v>
      </c>
    </row>
    <row r="11" spans="1:19" ht="16" x14ac:dyDescent="0.2">
      <c r="A11" s="4">
        <v>73924</v>
      </c>
      <c r="B11" s="8" t="s">
        <v>57</v>
      </c>
      <c r="C11" s="8" t="s">
        <v>51</v>
      </c>
      <c r="D11" s="5"/>
      <c r="E11" s="5"/>
      <c r="F11" s="8" t="s">
        <v>22</v>
      </c>
      <c r="G11" s="8" t="s">
        <v>58</v>
      </c>
      <c r="H11" s="9">
        <v>25</v>
      </c>
      <c r="I11" s="9">
        <v>7</v>
      </c>
      <c r="J11" s="9">
        <v>1987</v>
      </c>
      <c r="K11" s="5" t="s">
        <v>59</v>
      </c>
      <c r="L11" s="6" t="s">
        <v>25</v>
      </c>
      <c r="M11" s="5">
        <v>0</v>
      </c>
      <c r="N11" s="5">
        <v>0</v>
      </c>
      <c r="O11" s="5">
        <v>12</v>
      </c>
      <c r="P11" s="5"/>
      <c r="Q11" s="7">
        <f t="shared" si="0"/>
        <v>0</v>
      </c>
      <c r="R11" s="7">
        <f t="shared" si="1"/>
        <v>0</v>
      </c>
      <c r="S11" s="7">
        <f t="shared" si="2"/>
        <v>1</v>
      </c>
    </row>
    <row r="12" spans="1:19" ht="16" x14ac:dyDescent="0.2">
      <c r="A12" s="4">
        <v>73926</v>
      </c>
      <c r="B12" s="8" t="s">
        <v>60</v>
      </c>
      <c r="C12" s="8" t="s">
        <v>51</v>
      </c>
      <c r="D12" s="5"/>
      <c r="E12" s="5"/>
      <c r="F12" s="8" t="s">
        <v>22</v>
      </c>
      <c r="G12" s="8" t="s">
        <v>61</v>
      </c>
      <c r="H12" s="9">
        <v>25</v>
      </c>
      <c r="I12" s="9">
        <v>7</v>
      </c>
      <c r="J12" s="9">
        <v>1987</v>
      </c>
      <c r="K12" s="5" t="s">
        <v>62</v>
      </c>
      <c r="L12" s="6" t="s">
        <v>25</v>
      </c>
      <c r="M12" s="5">
        <v>0</v>
      </c>
      <c r="N12" s="5">
        <v>0</v>
      </c>
      <c r="O12" s="5">
        <v>9</v>
      </c>
      <c r="P12" s="5"/>
      <c r="Q12" s="7">
        <f t="shared" si="0"/>
        <v>0</v>
      </c>
      <c r="R12" s="7">
        <f t="shared" si="1"/>
        <v>0</v>
      </c>
      <c r="S12" s="7">
        <f t="shared" si="2"/>
        <v>1</v>
      </c>
    </row>
    <row r="13" spans="1:19" ht="16" x14ac:dyDescent="0.2">
      <c r="A13" s="4">
        <v>74191</v>
      </c>
      <c r="B13" s="8" t="s">
        <v>63</v>
      </c>
      <c r="C13" s="8" t="s">
        <v>51</v>
      </c>
      <c r="D13" s="5"/>
      <c r="E13" s="5"/>
      <c r="F13" s="8" t="s">
        <v>22</v>
      </c>
      <c r="G13" s="8" t="s">
        <v>64</v>
      </c>
      <c r="H13" s="9">
        <v>25</v>
      </c>
      <c r="I13" s="9">
        <v>7</v>
      </c>
      <c r="J13" s="9">
        <v>1987</v>
      </c>
      <c r="K13" s="5" t="s">
        <v>65</v>
      </c>
      <c r="L13" s="6" t="s">
        <v>25</v>
      </c>
      <c r="M13" s="5">
        <v>0</v>
      </c>
      <c r="N13" s="5">
        <v>0</v>
      </c>
      <c r="O13" s="5">
        <v>1</v>
      </c>
      <c r="P13" s="5"/>
      <c r="Q13" s="7">
        <f t="shared" si="0"/>
        <v>0</v>
      </c>
      <c r="R13" s="7">
        <f t="shared" si="1"/>
        <v>0</v>
      </c>
      <c r="S13" s="7">
        <f t="shared" si="2"/>
        <v>1</v>
      </c>
    </row>
    <row r="14" spans="1:19" ht="16" x14ac:dyDescent="0.2">
      <c r="A14" s="4">
        <v>74758</v>
      </c>
      <c r="B14" s="8" t="s">
        <v>66</v>
      </c>
      <c r="C14" s="8" t="s">
        <v>51</v>
      </c>
      <c r="D14" s="5"/>
      <c r="E14" s="5"/>
      <c r="F14" s="8" t="s">
        <v>22</v>
      </c>
      <c r="G14" s="8" t="s">
        <v>67</v>
      </c>
      <c r="H14" s="9">
        <v>25</v>
      </c>
      <c r="I14" s="9">
        <v>7</v>
      </c>
      <c r="J14" s="9">
        <v>1987</v>
      </c>
      <c r="K14" s="5" t="s">
        <v>68</v>
      </c>
      <c r="L14" s="6" t="s">
        <v>25</v>
      </c>
      <c r="M14" s="5">
        <v>0</v>
      </c>
      <c r="N14" s="5">
        <v>0</v>
      </c>
      <c r="O14" s="5">
        <v>3</v>
      </c>
      <c r="P14" s="5"/>
      <c r="Q14" s="7">
        <f t="shared" si="0"/>
        <v>0</v>
      </c>
      <c r="R14" s="7">
        <f t="shared" si="1"/>
        <v>0</v>
      </c>
      <c r="S14" s="7">
        <f t="shared" si="2"/>
        <v>1</v>
      </c>
    </row>
    <row r="15" spans="1:19" ht="16" x14ac:dyDescent="0.2">
      <c r="A15" s="4">
        <v>74759</v>
      </c>
      <c r="B15" s="8" t="s">
        <v>69</v>
      </c>
      <c r="C15" s="8" t="s">
        <v>51</v>
      </c>
      <c r="D15" s="5"/>
      <c r="E15" s="5"/>
      <c r="F15" s="8" t="s">
        <v>22</v>
      </c>
      <c r="G15" s="8" t="s">
        <v>70</v>
      </c>
      <c r="H15" s="9">
        <v>25</v>
      </c>
      <c r="I15" s="9">
        <v>7</v>
      </c>
      <c r="J15" s="9">
        <v>1987</v>
      </c>
      <c r="K15" s="5" t="s">
        <v>71</v>
      </c>
      <c r="L15" s="6" t="s">
        <v>25</v>
      </c>
      <c r="M15" s="5">
        <v>0</v>
      </c>
      <c r="N15" s="5">
        <v>0</v>
      </c>
      <c r="O15" s="5">
        <v>6</v>
      </c>
      <c r="P15" s="5"/>
      <c r="Q15" s="7">
        <f t="shared" si="0"/>
        <v>0</v>
      </c>
      <c r="R15" s="7">
        <f t="shared" si="1"/>
        <v>0</v>
      </c>
      <c r="S15" s="7">
        <f t="shared" si="2"/>
        <v>1</v>
      </c>
    </row>
    <row r="16" spans="1:19" ht="16" x14ac:dyDescent="0.2">
      <c r="A16" s="4">
        <v>96574</v>
      </c>
      <c r="B16" s="5" t="s">
        <v>72</v>
      </c>
      <c r="C16" s="5" t="s">
        <v>51</v>
      </c>
      <c r="D16" s="5"/>
      <c r="E16" s="5"/>
      <c r="F16" s="5" t="s">
        <v>73</v>
      </c>
      <c r="G16" s="5" t="s">
        <v>74</v>
      </c>
      <c r="H16" s="4">
        <v>2</v>
      </c>
      <c r="I16" s="4">
        <v>10</v>
      </c>
      <c r="J16" s="4">
        <v>1990</v>
      </c>
      <c r="K16" s="5" t="s">
        <v>75</v>
      </c>
      <c r="L16" s="6" t="s">
        <v>25</v>
      </c>
      <c r="M16" s="5">
        <v>0</v>
      </c>
      <c r="N16" s="5">
        <v>0</v>
      </c>
      <c r="O16" s="5">
        <v>3</v>
      </c>
      <c r="P16" s="5"/>
      <c r="Q16" s="7">
        <f t="shared" si="0"/>
        <v>0</v>
      </c>
      <c r="R16" s="7">
        <f t="shared" si="1"/>
        <v>0</v>
      </c>
      <c r="S16" s="7">
        <f t="shared" si="2"/>
        <v>1</v>
      </c>
    </row>
    <row r="17" spans="1:19" ht="16" x14ac:dyDescent="0.2">
      <c r="A17" s="4">
        <v>96871</v>
      </c>
      <c r="B17" s="5" t="s">
        <v>76</v>
      </c>
      <c r="C17" s="5" t="s">
        <v>51</v>
      </c>
      <c r="D17" s="5"/>
      <c r="E17" s="5"/>
      <c r="F17" s="5" t="s">
        <v>77</v>
      </c>
      <c r="G17" s="5" t="s">
        <v>78</v>
      </c>
      <c r="H17" s="4">
        <v>17</v>
      </c>
      <c r="I17" s="4">
        <v>10</v>
      </c>
      <c r="J17" s="4">
        <v>1990</v>
      </c>
      <c r="K17" s="5" t="s">
        <v>79</v>
      </c>
      <c r="L17" s="6" t="s">
        <v>25</v>
      </c>
      <c r="M17" s="5">
        <v>0</v>
      </c>
      <c r="N17" s="5">
        <v>0</v>
      </c>
      <c r="O17" s="5">
        <v>2</v>
      </c>
      <c r="P17" s="5"/>
      <c r="Q17" s="7">
        <f t="shared" si="0"/>
        <v>0</v>
      </c>
      <c r="R17" s="7">
        <f t="shared" si="1"/>
        <v>0</v>
      </c>
      <c r="S17" s="7">
        <f t="shared" si="2"/>
        <v>1</v>
      </c>
    </row>
    <row r="18" spans="1:19" ht="16" x14ac:dyDescent="0.2">
      <c r="A18" s="4">
        <v>132119</v>
      </c>
      <c r="B18" s="8" t="s">
        <v>80</v>
      </c>
      <c r="C18" s="8" t="s">
        <v>51</v>
      </c>
      <c r="D18" s="5"/>
      <c r="E18" s="5"/>
      <c r="F18" s="8" t="s">
        <v>31</v>
      </c>
      <c r="G18" s="8" t="s">
        <v>81</v>
      </c>
      <c r="H18" s="9">
        <v>25</v>
      </c>
      <c r="I18" s="9">
        <v>6</v>
      </c>
      <c r="J18" s="9">
        <v>1996</v>
      </c>
      <c r="K18" s="5" t="s">
        <v>82</v>
      </c>
      <c r="L18" s="6" t="s">
        <v>25</v>
      </c>
      <c r="M18" s="5">
        <v>24</v>
      </c>
      <c r="N18" s="5">
        <v>10</v>
      </c>
      <c r="O18" s="5">
        <v>0</v>
      </c>
      <c r="P18" s="5"/>
      <c r="Q18" s="7">
        <f t="shared" si="0"/>
        <v>0.70588235294117652</v>
      </c>
      <c r="R18" s="7">
        <f t="shared" si="1"/>
        <v>0.29411764705882354</v>
      </c>
      <c r="S18" s="7">
        <f t="shared" si="2"/>
        <v>0</v>
      </c>
    </row>
    <row r="19" spans="1:19" ht="16" x14ac:dyDescent="0.2">
      <c r="A19" s="4">
        <v>132120</v>
      </c>
      <c r="B19" s="8" t="s">
        <v>83</v>
      </c>
      <c r="C19" s="8" t="s">
        <v>51</v>
      </c>
      <c r="D19" s="5"/>
      <c r="E19" s="5"/>
      <c r="F19" s="8" t="s">
        <v>31</v>
      </c>
      <c r="G19" s="8" t="s">
        <v>84</v>
      </c>
      <c r="H19" s="9">
        <v>25</v>
      </c>
      <c r="I19" s="9">
        <v>6</v>
      </c>
      <c r="J19" s="9">
        <v>1996</v>
      </c>
      <c r="K19" s="5" t="s">
        <v>85</v>
      </c>
      <c r="L19" s="6" t="s">
        <v>25</v>
      </c>
      <c r="M19" s="5">
        <v>17</v>
      </c>
      <c r="N19" s="5">
        <v>13</v>
      </c>
      <c r="O19" s="5">
        <v>0</v>
      </c>
      <c r="P19" s="5"/>
      <c r="Q19" s="7">
        <f t="shared" si="0"/>
        <v>0.56666666666666665</v>
      </c>
      <c r="R19" s="7">
        <f t="shared" si="1"/>
        <v>0.43333333333333335</v>
      </c>
      <c r="S19" s="7">
        <f t="shared" si="2"/>
        <v>0</v>
      </c>
    </row>
    <row r="20" spans="1:19" ht="16" x14ac:dyDescent="0.2">
      <c r="A20" s="4">
        <v>132122</v>
      </c>
      <c r="B20" s="8" t="s">
        <v>86</v>
      </c>
      <c r="C20" s="8" t="s">
        <v>51</v>
      </c>
      <c r="D20" s="5"/>
      <c r="E20" s="5"/>
      <c r="F20" s="8" t="s">
        <v>31</v>
      </c>
      <c r="G20" s="8" t="s">
        <v>87</v>
      </c>
      <c r="H20" s="9">
        <v>25</v>
      </c>
      <c r="I20" s="9">
        <v>6</v>
      </c>
      <c r="J20" s="9">
        <v>1996</v>
      </c>
      <c r="K20" s="5" t="s">
        <v>88</v>
      </c>
      <c r="L20" s="6" t="s">
        <v>25</v>
      </c>
      <c r="M20" s="5">
        <v>25</v>
      </c>
      <c r="N20" s="5">
        <v>34</v>
      </c>
      <c r="O20" s="5">
        <v>0</v>
      </c>
      <c r="P20" s="5"/>
      <c r="Q20" s="7">
        <f t="shared" si="0"/>
        <v>0.42372881355932202</v>
      </c>
      <c r="R20" s="7">
        <f t="shared" si="1"/>
        <v>0.57627118644067798</v>
      </c>
      <c r="S20" s="7">
        <f t="shared" si="2"/>
        <v>0</v>
      </c>
    </row>
    <row r="21" spans="1:19" ht="16" x14ac:dyDescent="0.2">
      <c r="A21" s="4">
        <v>132211</v>
      </c>
      <c r="B21" s="8" t="s">
        <v>89</v>
      </c>
      <c r="C21" s="8" t="s">
        <v>51</v>
      </c>
      <c r="D21" s="5"/>
      <c r="E21" s="5"/>
      <c r="F21" s="8" t="s">
        <v>31</v>
      </c>
      <c r="G21" s="8" t="s">
        <v>90</v>
      </c>
      <c r="H21" s="9">
        <v>25</v>
      </c>
      <c r="I21" s="9">
        <v>6</v>
      </c>
      <c r="J21" s="9">
        <v>1996</v>
      </c>
      <c r="K21" s="5" t="s">
        <v>91</v>
      </c>
      <c r="L21" s="6" t="s">
        <v>25</v>
      </c>
      <c r="M21" s="5">
        <v>26</v>
      </c>
      <c r="N21" s="5">
        <v>24</v>
      </c>
      <c r="O21" s="5">
        <v>1</v>
      </c>
      <c r="P21" s="5"/>
      <c r="Q21" s="7">
        <f t="shared" si="0"/>
        <v>0.50980392156862742</v>
      </c>
      <c r="R21" s="7">
        <f t="shared" si="1"/>
        <v>0.47058823529411764</v>
      </c>
      <c r="S21" s="7">
        <f t="shared" si="2"/>
        <v>1.9607843137254902E-2</v>
      </c>
    </row>
    <row r="22" spans="1:19" ht="16" x14ac:dyDescent="0.2">
      <c r="A22" s="4">
        <v>132267</v>
      </c>
      <c r="B22" s="8" t="s">
        <v>92</v>
      </c>
      <c r="C22" s="8" t="s">
        <v>51</v>
      </c>
      <c r="D22" s="5"/>
      <c r="E22" s="5"/>
      <c r="F22" s="8" t="s">
        <v>31</v>
      </c>
      <c r="G22" s="8" t="s">
        <v>93</v>
      </c>
      <c r="H22" s="9">
        <v>25</v>
      </c>
      <c r="I22" s="9">
        <v>6</v>
      </c>
      <c r="J22" s="9">
        <v>1996</v>
      </c>
      <c r="K22" s="5" t="s">
        <v>94</v>
      </c>
      <c r="L22" s="6" t="s">
        <v>25</v>
      </c>
      <c r="M22" s="5">
        <v>42</v>
      </c>
      <c r="N22" s="5">
        <v>9</v>
      </c>
      <c r="O22" s="5">
        <v>0</v>
      </c>
      <c r="P22" s="5"/>
      <c r="Q22" s="7">
        <f t="shared" si="0"/>
        <v>0.82352941176470584</v>
      </c>
      <c r="R22" s="7">
        <f t="shared" si="1"/>
        <v>0.17647058823529413</v>
      </c>
      <c r="S22" s="7">
        <f t="shared" si="2"/>
        <v>0</v>
      </c>
    </row>
    <row r="23" spans="1:19" ht="16" x14ac:dyDescent="0.2">
      <c r="A23" s="4">
        <v>152195</v>
      </c>
      <c r="B23" s="5" t="s">
        <v>95</v>
      </c>
      <c r="C23" s="5" t="s">
        <v>51</v>
      </c>
      <c r="D23" s="5"/>
      <c r="E23" s="5"/>
      <c r="F23" s="5" t="s">
        <v>31</v>
      </c>
      <c r="G23" s="5" t="s">
        <v>96</v>
      </c>
      <c r="H23" s="4">
        <v>19</v>
      </c>
      <c r="I23" s="4">
        <v>6</v>
      </c>
      <c r="J23" s="4">
        <v>2001</v>
      </c>
      <c r="K23" s="5" t="s">
        <v>97</v>
      </c>
      <c r="L23" s="6" t="s">
        <v>25</v>
      </c>
      <c r="M23" s="5">
        <v>6</v>
      </c>
      <c r="N23" s="5">
        <v>12</v>
      </c>
      <c r="O23" s="5">
        <v>10</v>
      </c>
      <c r="P23" s="5"/>
      <c r="Q23" s="7">
        <f t="shared" si="0"/>
        <v>0.21428571428571427</v>
      </c>
      <c r="R23" s="7">
        <f t="shared" si="1"/>
        <v>0.42857142857142855</v>
      </c>
      <c r="S23" s="7">
        <f t="shared" si="2"/>
        <v>0.35714285714285715</v>
      </c>
    </row>
    <row r="24" spans="1:19" ht="16" x14ac:dyDescent="0.2">
      <c r="A24" s="4">
        <v>155777</v>
      </c>
      <c r="B24" s="5" t="s">
        <v>98</v>
      </c>
      <c r="C24" s="5" t="s">
        <v>51</v>
      </c>
      <c r="D24" s="5"/>
      <c r="E24" s="5"/>
      <c r="F24" s="5" t="s">
        <v>99</v>
      </c>
      <c r="G24" s="4">
        <v>12</v>
      </c>
      <c r="H24" s="4">
        <v>25</v>
      </c>
      <c r="I24" s="4">
        <v>6</v>
      </c>
      <c r="J24" s="4">
        <v>2003</v>
      </c>
      <c r="K24" s="5" t="s">
        <v>100</v>
      </c>
      <c r="L24" s="6" t="s">
        <v>25</v>
      </c>
      <c r="M24" s="5">
        <v>12</v>
      </c>
      <c r="N24" s="5">
        <v>24</v>
      </c>
      <c r="O24" s="5">
        <v>0</v>
      </c>
      <c r="P24" s="5"/>
      <c r="Q24" s="7">
        <f t="shared" si="0"/>
        <v>0.33333333333333331</v>
      </c>
      <c r="R24" s="7">
        <f t="shared" si="1"/>
        <v>0.66666666666666663</v>
      </c>
      <c r="S24" s="7">
        <f t="shared" si="2"/>
        <v>0</v>
      </c>
    </row>
    <row r="25" spans="1:19" ht="16" x14ac:dyDescent="0.2">
      <c r="A25" s="4">
        <v>183462</v>
      </c>
      <c r="B25" s="5" t="s">
        <v>101</v>
      </c>
      <c r="C25" s="5" t="s">
        <v>51</v>
      </c>
      <c r="D25" s="5"/>
      <c r="E25" s="5"/>
      <c r="F25" s="5" t="s">
        <v>102</v>
      </c>
      <c r="G25" s="5" t="s">
        <v>103</v>
      </c>
      <c r="H25" s="4">
        <v>13</v>
      </c>
      <c r="I25" s="4">
        <v>6</v>
      </c>
      <c r="J25" s="4">
        <v>2016</v>
      </c>
      <c r="K25" s="5" t="s">
        <v>104</v>
      </c>
      <c r="L25" s="6" t="s">
        <v>25</v>
      </c>
      <c r="M25" s="5">
        <v>16</v>
      </c>
      <c r="N25" s="5">
        <v>13</v>
      </c>
      <c r="O25" s="5">
        <v>0</v>
      </c>
      <c r="P25" s="5"/>
      <c r="Q25" s="7">
        <f t="shared" si="0"/>
        <v>0.55172413793103448</v>
      </c>
      <c r="R25" s="7">
        <f t="shared" si="1"/>
        <v>0.44827586206896552</v>
      </c>
      <c r="S25" s="7">
        <f t="shared" si="2"/>
        <v>0</v>
      </c>
    </row>
    <row r="26" spans="1:19" ht="16" x14ac:dyDescent="0.2">
      <c r="A26" s="4">
        <v>188464</v>
      </c>
      <c r="B26" s="5" t="s">
        <v>105</v>
      </c>
      <c r="C26" s="5" t="s">
        <v>51</v>
      </c>
      <c r="D26" s="5"/>
      <c r="E26" s="5"/>
      <c r="F26" s="5" t="s">
        <v>47</v>
      </c>
      <c r="G26" s="5" t="s">
        <v>106</v>
      </c>
      <c r="H26" s="4">
        <v>20</v>
      </c>
      <c r="I26" s="4">
        <v>6</v>
      </c>
      <c r="J26" s="4">
        <v>2020</v>
      </c>
      <c r="K26" s="5" t="s">
        <v>107</v>
      </c>
      <c r="L26" s="6" t="s">
        <v>25</v>
      </c>
      <c r="M26" s="5">
        <v>73</v>
      </c>
      <c r="N26" s="5">
        <v>38</v>
      </c>
      <c r="O26" s="5">
        <v>0</v>
      </c>
      <c r="P26" s="5"/>
      <c r="Q26" s="7">
        <f t="shared" si="0"/>
        <v>0.65765765765765771</v>
      </c>
      <c r="R26" s="7">
        <f t="shared" si="1"/>
        <v>0.34234234234234234</v>
      </c>
      <c r="S26" s="7">
        <f t="shared" si="2"/>
        <v>0</v>
      </c>
    </row>
    <row r="27" spans="1:19" ht="16" x14ac:dyDescent="0.2">
      <c r="A27" s="4">
        <v>190222</v>
      </c>
      <c r="B27" s="5" t="s">
        <v>108</v>
      </c>
      <c r="C27" s="5" t="s">
        <v>109</v>
      </c>
      <c r="D27" s="5"/>
      <c r="E27" s="5"/>
      <c r="F27" s="5" t="s">
        <v>47</v>
      </c>
      <c r="G27" s="5" t="s">
        <v>110</v>
      </c>
      <c r="H27" s="4">
        <v>28</v>
      </c>
      <c r="I27" s="4">
        <v>9</v>
      </c>
      <c r="J27" s="4">
        <v>2020</v>
      </c>
      <c r="K27" s="5" t="s">
        <v>111</v>
      </c>
      <c r="L27" s="6" t="s">
        <v>25</v>
      </c>
      <c r="M27" s="5">
        <v>0</v>
      </c>
      <c r="N27" s="5">
        <v>0</v>
      </c>
      <c r="O27" s="5">
        <v>0</v>
      </c>
      <c r="P27" s="5"/>
      <c r="Q27" s="7" t="e">
        <f t="shared" si="0"/>
        <v>#DIV/0!</v>
      </c>
      <c r="R27" s="7" t="e">
        <f t="shared" si="1"/>
        <v>#DIV/0!</v>
      </c>
      <c r="S27" s="7" t="e">
        <f t="shared" si="2"/>
        <v>#DIV/0!</v>
      </c>
    </row>
    <row r="28" spans="1:19" ht="16" x14ac:dyDescent="0.2">
      <c r="A28" s="4">
        <v>195010</v>
      </c>
      <c r="B28" s="5" t="s">
        <v>112</v>
      </c>
      <c r="C28" s="8" t="s">
        <v>109</v>
      </c>
      <c r="D28" s="5"/>
      <c r="E28" s="5"/>
      <c r="F28" s="5" t="s">
        <v>113</v>
      </c>
      <c r="G28" s="5" t="s">
        <v>114</v>
      </c>
      <c r="H28" s="4">
        <v>26</v>
      </c>
      <c r="I28" s="4">
        <v>6</v>
      </c>
      <c r="J28" s="4">
        <v>2025</v>
      </c>
      <c r="K28" s="5" t="s">
        <v>115</v>
      </c>
      <c r="L28" s="6" t="s">
        <v>116</v>
      </c>
      <c r="M28" s="5"/>
      <c r="N28" s="5"/>
      <c r="O28" s="5"/>
      <c r="P28" s="5"/>
      <c r="Q28" s="7" t="e">
        <f t="shared" si="0"/>
        <v>#DIV/0!</v>
      </c>
      <c r="R28" s="7" t="e">
        <f t="shared" si="1"/>
        <v>#DIV/0!</v>
      </c>
      <c r="S28" s="7" t="e">
        <f t="shared" si="2"/>
        <v>#DIV/0!</v>
      </c>
    </row>
    <row r="29" spans="1:19" ht="16" x14ac:dyDescent="0.2">
      <c r="A29" s="4">
        <v>62459</v>
      </c>
      <c r="B29" s="5" t="s">
        <v>117</v>
      </c>
      <c r="C29" s="10" t="s">
        <v>118</v>
      </c>
      <c r="D29" s="5"/>
      <c r="E29" s="5"/>
      <c r="F29" s="5" t="s">
        <v>119</v>
      </c>
      <c r="G29" s="4">
        <v>6251</v>
      </c>
      <c r="H29" s="4">
        <v>9</v>
      </c>
      <c r="I29" s="4">
        <v>9</v>
      </c>
      <c r="J29" s="4">
        <v>1986</v>
      </c>
      <c r="K29" s="5" t="s">
        <v>120</v>
      </c>
      <c r="L29" s="6" t="s">
        <v>25</v>
      </c>
      <c r="M29" s="5">
        <v>0</v>
      </c>
      <c r="N29" s="5">
        <v>0</v>
      </c>
      <c r="O29" s="5">
        <v>11</v>
      </c>
      <c r="P29" s="5"/>
      <c r="Q29" s="7">
        <f t="shared" si="0"/>
        <v>0</v>
      </c>
      <c r="R29" s="7">
        <f t="shared" si="1"/>
        <v>0</v>
      </c>
      <c r="S29" s="7">
        <f t="shared" si="2"/>
        <v>1</v>
      </c>
    </row>
    <row r="30" spans="1:19" ht="16" x14ac:dyDescent="0.2">
      <c r="A30" s="4">
        <v>106266</v>
      </c>
      <c r="B30" s="5" t="s">
        <v>121</v>
      </c>
      <c r="C30" s="10" t="s">
        <v>118</v>
      </c>
      <c r="D30" s="5"/>
      <c r="E30" s="5"/>
      <c r="F30" s="5" t="s">
        <v>31</v>
      </c>
      <c r="G30" s="5" t="s">
        <v>122</v>
      </c>
      <c r="H30" s="4">
        <v>1</v>
      </c>
      <c r="I30" s="4">
        <v>9</v>
      </c>
      <c r="J30" s="4">
        <v>1992</v>
      </c>
      <c r="K30" s="5" t="s">
        <v>123</v>
      </c>
      <c r="L30" s="6" t="s">
        <v>25</v>
      </c>
      <c r="M30" s="5">
        <v>0</v>
      </c>
      <c r="N30" s="5">
        <v>0</v>
      </c>
      <c r="O30" s="5">
        <v>24</v>
      </c>
      <c r="P30" s="5"/>
      <c r="Q30" s="7">
        <f t="shared" si="0"/>
        <v>0</v>
      </c>
      <c r="R30" s="7">
        <f t="shared" si="1"/>
        <v>0</v>
      </c>
      <c r="S30" s="7">
        <f t="shared" si="2"/>
        <v>1</v>
      </c>
    </row>
    <row r="31" spans="1:19" ht="16" x14ac:dyDescent="0.2">
      <c r="A31" s="4">
        <v>107201</v>
      </c>
      <c r="B31" s="5" t="s">
        <v>124</v>
      </c>
      <c r="C31" s="10" t="s">
        <v>118</v>
      </c>
      <c r="D31" s="5"/>
      <c r="E31" s="5"/>
      <c r="F31" s="5" t="s">
        <v>125</v>
      </c>
      <c r="G31" s="5" t="s">
        <v>126</v>
      </c>
      <c r="H31" s="4">
        <v>9</v>
      </c>
      <c r="I31" s="4">
        <v>10</v>
      </c>
      <c r="J31" s="4">
        <v>1992</v>
      </c>
      <c r="K31" s="5" t="s">
        <v>127</v>
      </c>
      <c r="L31" s="6" t="s">
        <v>25</v>
      </c>
      <c r="M31" s="5">
        <v>0</v>
      </c>
      <c r="N31" s="5">
        <v>0</v>
      </c>
      <c r="O31" s="5">
        <v>23</v>
      </c>
      <c r="P31" s="5"/>
      <c r="Q31" s="7">
        <f t="shared" si="0"/>
        <v>0</v>
      </c>
      <c r="R31" s="7">
        <f t="shared" si="1"/>
        <v>0</v>
      </c>
      <c r="S31" s="7">
        <f t="shared" si="2"/>
        <v>1</v>
      </c>
    </row>
    <row r="32" spans="1:19" ht="16" x14ac:dyDescent="0.2">
      <c r="A32" s="9">
        <v>120628</v>
      </c>
      <c r="B32" s="8" t="s">
        <v>128</v>
      </c>
      <c r="C32" s="8" t="s">
        <v>118</v>
      </c>
      <c r="D32" s="5"/>
      <c r="E32" s="5"/>
      <c r="F32" s="8" t="s">
        <v>129</v>
      </c>
      <c r="G32" s="8" t="s">
        <v>130</v>
      </c>
      <c r="H32" s="9">
        <v>16</v>
      </c>
      <c r="I32" s="9">
        <v>8</v>
      </c>
      <c r="J32" s="9">
        <v>1994</v>
      </c>
      <c r="K32" s="5" t="s">
        <v>131</v>
      </c>
      <c r="L32" s="6" t="s">
        <v>25</v>
      </c>
      <c r="M32" s="5">
        <v>0</v>
      </c>
      <c r="N32" s="5">
        <v>0</v>
      </c>
      <c r="O32" s="5">
        <v>12</v>
      </c>
      <c r="P32" s="5"/>
      <c r="Q32" s="7">
        <f t="shared" si="0"/>
        <v>0</v>
      </c>
      <c r="R32" s="7">
        <f t="shared" si="1"/>
        <v>0</v>
      </c>
      <c r="S32" s="7">
        <f t="shared" si="2"/>
        <v>1</v>
      </c>
    </row>
    <row r="33" spans="1:19" ht="16" x14ac:dyDescent="0.2">
      <c r="A33" s="9">
        <v>120629</v>
      </c>
      <c r="B33" s="8" t="s">
        <v>132</v>
      </c>
      <c r="C33" s="8" t="s">
        <v>118</v>
      </c>
      <c r="D33" s="5"/>
      <c r="E33" s="5"/>
      <c r="F33" s="8" t="s">
        <v>129</v>
      </c>
      <c r="G33" s="8" t="s">
        <v>133</v>
      </c>
      <c r="H33" s="9">
        <v>16</v>
      </c>
      <c r="I33" s="9">
        <v>8</v>
      </c>
      <c r="J33" s="9">
        <v>1994</v>
      </c>
      <c r="K33" s="5" t="s">
        <v>134</v>
      </c>
      <c r="L33" s="6" t="s">
        <v>25</v>
      </c>
      <c r="M33" s="5">
        <v>0</v>
      </c>
      <c r="N33" s="5">
        <v>0</v>
      </c>
      <c r="O33" s="5">
        <v>97</v>
      </c>
      <c r="P33" s="5"/>
      <c r="Q33" s="7">
        <f t="shared" si="0"/>
        <v>0</v>
      </c>
      <c r="R33" s="7">
        <f t="shared" si="1"/>
        <v>0</v>
      </c>
      <c r="S33" s="7">
        <f t="shared" si="2"/>
        <v>1</v>
      </c>
    </row>
    <row r="34" spans="1:19" ht="16" x14ac:dyDescent="0.2">
      <c r="A34" s="9">
        <v>120631</v>
      </c>
      <c r="B34" s="8" t="s">
        <v>135</v>
      </c>
      <c r="C34" s="8" t="s">
        <v>118</v>
      </c>
      <c r="D34" s="5"/>
      <c r="E34" s="5"/>
      <c r="F34" s="8" t="s">
        <v>129</v>
      </c>
      <c r="G34" s="8" t="s">
        <v>136</v>
      </c>
      <c r="H34" s="9">
        <v>16</v>
      </c>
      <c r="I34" s="9">
        <v>8</v>
      </c>
      <c r="J34" s="9">
        <v>1994</v>
      </c>
      <c r="K34" s="5" t="s">
        <v>134</v>
      </c>
      <c r="L34" s="6" t="s">
        <v>25</v>
      </c>
      <c r="M34" s="5">
        <v>0</v>
      </c>
      <c r="N34" s="5">
        <v>0</v>
      </c>
      <c r="O34" s="5">
        <v>35</v>
      </c>
      <c r="P34" s="5"/>
      <c r="Q34" s="7">
        <f t="shared" si="0"/>
        <v>0</v>
      </c>
      <c r="R34" s="7">
        <f t="shared" si="1"/>
        <v>0</v>
      </c>
      <c r="S34" s="7">
        <f t="shared" si="2"/>
        <v>1</v>
      </c>
    </row>
    <row r="35" spans="1:19" ht="16" x14ac:dyDescent="0.2">
      <c r="A35" s="4">
        <v>177322</v>
      </c>
      <c r="B35" s="5" t="s">
        <v>137</v>
      </c>
      <c r="C35" s="10" t="s">
        <v>118</v>
      </c>
      <c r="D35" s="5"/>
      <c r="E35" s="5"/>
      <c r="F35" s="5" t="s">
        <v>113</v>
      </c>
      <c r="G35" s="5" t="s">
        <v>138</v>
      </c>
      <c r="H35" s="4">
        <v>6</v>
      </c>
      <c r="I35" s="4">
        <v>8</v>
      </c>
      <c r="J35" s="4">
        <v>2013</v>
      </c>
      <c r="K35" s="5" t="s">
        <v>139</v>
      </c>
      <c r="L35" s="6" t="s">
        <v>25</v>
      </c>
      <c r="M35" s="5">
        <v>0</v>
      </c>
      <c r="N35" s="5">
        <v>0</v>
      </c>
      <c r="O35" s="5">
        <v>40</v>
      </c>
      <c r="P35" s="5"/>
      <c r="Q35" s="7">
        <f t="shared" si="0"/>
        <v>0</v>
      </c>
      <c r="R35" s="7">
        <f t="shared" si="1"/>
        <v>0</v>
      </c>
      <c r="S35" s="7">
        <f t="shared" si="2"/>
        <v>1</v>
      </c>
    </row>
    <row r="36" spans="1:19" ht="16" x14ac:dyDescent="0.2">
      <c r="A36" s="4">
        <v>188219</v>
      </c>
      <c r="B36" s="5" t="s">
        <v>140</v>
      </c>
      <c r="C36" s="10" t="s">
        <v>118</v>
      </c>
      <c r="D36" s="5"/>
      <c r="E36" s="5"/>
      <c r="F36" s="5" t="s">
        <v>47</v>
      </c>
      <c r="G36" s="5" t="s">
        <v>141</v>
      </c>
      <c r="H36" s="4">
        <v>5</v>
      </c>
      <c r="I36" s="4">
        <v>9</v>
      </c>
      <c r="J36" s="4">
        <v>2018</v>
      </c>
      <c r="K36" s="5" t="s">
        <v>142</v>
      </c>
      <c r="L36" s="6" t="s">
        <v>25</v>
      </c>
      <c r="M36" s="5">
        <v>0</v>
      </c>
      <c r="N36" s="5">
        <v>0</v>
      </c>
      <c r="O36" s="5">
        <v>6</v>
      </c>
      <c r="P36" s="5"/>
      <c r="Q36" s="7">
        <f t="shared" si="0"/>
        <v>0</v>
      </c>
      <c r="R36" s="7">
        <f t="shared" si="1"/>
        <v>0</v>
      </c>
      <c r="S36" s="7">
        <f t="shared" si="2"/>
        <v>1</v>
      </c>
    </row>
    <row r="37" spans="1:19" ht="16" x14ac:dyDescent="0.2">
      <c r="A37" s="4">
        <v>36813</v>
      </c>
      <c r="B37" s="5" t="s">
        <v>143</v>
      </c>
      <c r="C37" s="11" t="s">
        <v>144</v>
      </c>
      <c r="D37" s="5"/>
      <c r="E37" s="5"/>
      <c r="F37" s="5" t="s">
        <v>119</v>
      </c>
      <c r="G37" s="4">
        <v>4751</v>
      </c>
      <c r="H37" s="4">
        <v>6</v>
      </c>
      <c r="I37" s="4">
        <v>7</v>
      </c>
      <c r="J37" s="4">
        <v>1979</v>
      </c>
      <c r="K37" s="5" t="s">
        <v>145</v>
      </c>
      <c r="L37" s="6" t="s">
        <v>25</v>
      </c>
      <c r="M37" s="5">
        <v>0</v>
      </c>
      <c r="N37" s="5">
        <v>0</v>
      </c>
      <c r="O37" s="5">
        <v>121</v>
      </c>
      <c r="P37" s="5"/>
      <c r="Q37" s="7">
        <f t="shared" si="0"/>
        <v>0</v>
      </c>
      <c r="R37" s="7">
        <f t="shared" si="1"/>
        <v>0</v>
      </c>
      <c r="S37" s="7">
        <f t="shared" si="2"/>
        <v>1</v>
      </c>
    </row>
    <row r="38" spans="1:19" ht="16" x14ac:dyDescent="0.2">
      <c r="A38" s="4">
        <v>79007</v>
      </c>
      <c r="B38" s="5" t="s">
        <v>146</v>
      </c>
      <c r="C38" s="11" t="s">
        <v>144</v>
      </c>
      <c r="D38" s="5"/>
      <c r="E38" s="5"/>
      <c r="F38" s="5" t="s">
        <v>22</v>
      </c>
      <c r="G38" s="5" t="s">
        <v>147</v>
      </c>
      <c r="H38" s="4">
        <v>19</v>
      </c>
      <c r="I38" s="4">
        <v>8</v>
      </c>
      <c r="J38" s="4">
        <v>1987</v>
      </c>
      <c r="K38" s="5" t="s">
        <v>148</v>
      </c>
      <c r="L38" s="6" t="s">
        <v>25</v>
      </c>
      <c r="M38" s="5">
        <v>0</v>
      </c>
      <c r="N38" s="5">
        <v>0</v>
      </c>
      <c r="O38" s="5">
        <v>8</v>
      </c>
      <c r="P38" s="5"/>
      <c r="Q38" s="7">
        <f t="shared" si="0"/>
        <v>0</v>
      </c>
      <c r="R38" s="7">
        <f t="shared" si="1"/>
        <v>0</v>
      </c>
      <c r="S38" s="7">
        <f t="shared" si="2"/>
        <v>1</v>
      </c>
    </row>
    <row r="39" spans="1:19" ht="16" x14ac:dyDescent="0.2">
      <c r="A39" s="4">
        <v>98742</v>
      </c>
      <c r="B39" s="5" t="s">
        <v>149</v>
      </c>
      <c r="C39" s="11" t="s">
        <v>144</v>
      </c>
      <c r="D39" s="5"/>
      <c r="E39" s="5"/>
      <c r="F39" s="5" t="s">
        <v>125</v>
      </c>
      <c r="G39" s="5" t="s">
        <v>150</v>
      </c>
      <c r="H39" s="4">
        <v>16</v>
      </c>
      <c r="I39" s="4">
        <v>8</v>
      </c>
      <c r="J39" s="4">
        <v>1991</v>
      </c>
      <c r="K39" s="5" t="s">
        <v>151</v>
      </c>
      <c r="L39" s="6" t="s">
        <v>25</v>
      </c>
      <c r="M39" s="5">
        <v>0</v>
      </c>
      <c r="N39" s="5">
        <v>0</v>
      </c>
      <c r="O39" s="5">
        <v>7</v>
      </c>
      <c r="P39" s="5"/>
      <c r="Q39" s="7">
        <f t="shared" si="0"/>
        <v>0</v>
      </c>
      <c r="R39" s="7">
        <f t="shared" si="1"/>
        <v>0</v>
      </c>
      <c r="S39" s="7">
        <f t="shared" si="2"/>
        <v>1</v>
      </c>
    </row>
    <row r="40" spans="1:19" ht="16" x14ac:dyDescent="0.2">
      <c r="A40" s="4">
        <v>98743</v>
      </c>
      <c r="B40" s="5" t="s">
        <v>152</v>
      </c>
      <c r="C40" s="11" t="s">
        <v>144</v>
      </c>
      <c r="D40" s="5"/>
      <c r="E40" s="5"/>
      <c r="F40" s="5" t="s">
        <v>125</v>
      </c>
      <c r="G40" s="5" t="s">
        <v>153</v>
      </c>
      <c r="H40" s="4">
        <v>15</v>
      </c>
      <c r="I40" s="4">
        <v>8</v>
      </c>
      <c r="J40" s="4">
        <v>1991</v>
      </c>
      <c r="K40" s="5" t="s">
        <v>154</v>
      </c>
      <c r="L40" s="6" t="s">
        <v>25</v>
      </c>
      <c r="M40" s="5">
        <v>0</v>
      </c>
      <c r="N40" s="5">
        <v>0</v>
      </c>
      <c r="O40" s="5">
        <v>3</v>
      </c>
      <c r="P40" s="5"/>
      <c r="Q40" s="7">
        <f t="shared" si="0"/>
        <v>0</v>
      </c>
      <c r="R40" s="7">
        <f t="shared" si="1"/>
        <v>0</v>
      </c>
      <c r="S40" s="7">
        <f t="shared" si="2"/>
        <v>1</v>
      </c>
    </row>
    <row r="41" spans="1:19" ht="16" x14ac:dyDescent="0.2">
      <c r="A41" s="4">
        <v>120839</v>
      </c>
      <c r="B41" s="5" t="s">
        <v>155</v>
      </c>
      <c r="C41" s="11" t="s">
        <v>144</v>
      </c>
      <c r="D41" s="5"/>
      <c r="E41" s="5"/>
      <c r="F41" s="5" t="s">
        <v>129</v>
      </c>
      <c r="G41" s="5" t="s">
        <v>156</v>
      </c>
      <c r="H41" s="4">
        <v>16</v>
      </c>
      <c r="I41" s="4">
        <v>8</v>
      </c>
      <c r="J41" s="4">
        <v>1994</v>
      </c>
      <c r="K41" s="5" t="s">
        <v>157</v>
      </c>
      <c r="L41" s="6" t="s">
        <v>25</v>
      </c>
      <c r="M41" s="5">
        <v>0</v>
      </c>
      <c r="N41" s="5">
        <v>0</v>
      </c>
      <c r="O41" s="5">
        <v>11</v>
      </c>
      <c r="P41" s="5"/>
      <c r="Q41" s="7">
        <f t="shared" si="0"/>
        <v>0</v>
      </c>
      <c r="R41" s="7">
        <f t="shared" si="1"/>
        <v>0</v>
      </c>
      <c r="S41" s="7">
        <f t="shared" si="2"/>
        <v>1</v>
      </c>
    </row>
    <row r="42" spans="1:19" ht="16" x14ac:dyDescent="0.2">
      <c r="A42" s="4">
        <v>177684</v>
      </c>
      <c r="B42" s="5" t="s">
        <v>158</v>
      </c>
      <c r="C42" s="11" t="s">
        <v>144</v>
      </c>
      <c r="D42" s="5"/>
      <c r="E42" s="5"/>
      <c r="F42" s="5" t="s">
        <v>159</v>
      </c>
      <c r="G42" s="5" t="s">
        <v>160</v>
      </c>
      <c r="H42" s="4">
        <v>15</v>
      </c>
      <c r="I42" s="4">
        <v>8</v>
      </c>
      <c r="J42" s="4">
        <v>2013</v>
      </c>
      <c r="K42" s="5" t="s">
        <v>161</v>
      </c>
      <c r="L42" s="6" t="s">
        <v>25</v>
      </c>
      <c r="M42" s="5">
        <v>0</v>
      </c>
      <c r="N42" s="5">
        <v>0</v>
      </c>
      <c r="O42" s="5">
        <v>6</v>
      </c>
      <c r="P42" s="5"/>
      <c r="Q42" s="7">
        <f t="shared" si="0"/>
        <v>0</v>
      </c>
      <c r="R42" s="7">
        <f t="shared" si="1"/>
        <v>0</v>
      </c>
      <c r="S42" s="7">
        <f t="shared" si="2"/>
        <v>1</v>
      </c>
    </row>
    <row r="43" spans="1:19" ht="16" x14ac:dyDescent="0.2">
      <c r="A43" s="4">
        <v>188220</v>
      </c>
      <c r="B43" s="5" t="s">
        <v>162</v>
      </c>
      <c r="C43" s="11" t="s">
        <v>144</v>
      </c>
      <c r="D43" s="5"/>
      <c r="E43" s="5"/>
      <c r="F43" s="5" t="s">
        <v>47</v>
      </c>
      <c r="G43" s="5" t="s">
        <v>163</v>
      </c>
      <c r="H43" s="4">
        <v>5</v>
      </c>
      <c r="I43" s="4">
        <v>9</v>
      </c>
      <c r="J43" s="4">
        <v>2018</v>
      </c>
      <c r="K43" s="5" t="s">
        <v>161</v>
      </c>
      <c r="L43" s="6" t="s">
        <v>25</v>
      </c>
      <c r="M43" s="5">
        <v>0</v>
      </c>
      <c r="N43" s="5">
        <v>0</v>
      </c>
      <c r="O43" s="5">
        <v>0</v>
      </c>
      <c r="P43" s="5"/>
      <c r="Q43" s="7" t="e">
        <f t="shared" si="0"/>
        <v>#DIV/0!</v>
      </c>
      <c r="R43" s="7" t="e">
        <f t="shared" si="1"/>
        <v>#DIV/0!</v>
      </c>
      <c r="S43" s="7" t="e">
        <f t="shared" si="2"/>
        <v>#DIV/0!</v>
      </c>
    </row>
    <row r="44" spans="1:19" ht="16" x14ac:dyDescent="0.2">
      <c r="A44" s="4">
        <v>27999</v>
      </c>
      <c r="B44" s="5" t="s">
        <v>164</v>
      </c>
      <c r="C44" s="12" t="s">
        <v>165</v>
      </c>
      <c r="D44" s="5"/>
      <c r="E44" s="5"/>
      <c r="F44" s="5" t="s">
        <v>166</v>
      </c>
      <c r="G44" s="5" t="s">
        <v>167</v>
      </c>
      <c r="H44" s="4">
        <v>29</v>
      </c>
      <c r="I44" s="4">
        <v>6</v>
      </c>
      <c r="J44" s="4">
        <v>1971</v>
      </c>
      <c r="K44" s="5" t="s">
        <v>168</v>
      </c>
      <c r="L44" s="6" t="s">
        <v>25</v>
      </c>
      <c r="M44" s="5">
        <v>0</v>
      </c>
      <c r="N44" s="5">
        <v>14</v>
      </c>
      <c r="O44" s="5">
        <v>28</v>
      </c>
      <c r="P44" s="5"/>
      <c r="Q44" s="7">
        <f t="shared" si="0"/>
        <v>0</v>
      </c>
      <c r="R44" s="7">
        <f t="shared" si="1"/>
        <v>0.33333333333333331</v>
      </c>
      <c r="S44" s="7">
        <f t="shared" si="2"/>
        <v>0.66666666666666663</v>
      </c>
    </row>
    <row r="45" spans="1:19" ht="16" x14ac:dyDescent="0.2">
      <c r="A45" s="4">
        <v>28000</v>
      </c>
      <c r="B45" s="5" t="s">
        <v>169</v>
      </c>
      <c r="C45" s="12" t="s">
        <v>165</v>
      </c>
      <c r="D45" s="5"/>
      <c r="E45" s="5"/>
      <c r="F45" s="5" t="s">
        <v>170</v>
      </c>
      <c r="G45" s="4">
        <v>437</v>
      </c>
      <c r="H45" s="4">
        <v>2</v>
      </c>
      <c r="I45" s="4">
        <v>7</v>
      </c>
      <c r="J45" s="4">
        <v>1970</v>
      </c>
      <c r="K45" s="5" t="s">
        <v>171</v>
      </c>
      <c r="L45" s="6" t="s">
        <v>25</v>
      </c>
      <c r="M45" s="5">
        <v>0</v>
      </c>
      <c r="N45" s="5">
        <v>0</v>
      </c>
      <c r="O45" s="5">
        <v>17</v>
      </c>
      <c r="P45" s="5"/>
      <c r="Q45" s="7">
        <f t="shared" si="0"/>
        <v>0</v>
      </c>
      <c r="R45" s="7">
        <f t="shared" si="1"/>
        <v>0</v>
      </c>
      <c r="S45" s="7">
        <f t="shared" si="2"/>
        <v>1</v>
      </c>
    </row>
    <row r="46" spans="1:19" ht="16" x14ac:dyDescent="0.2">
      <c r="A46" s="4">
        <v>72837</v>
      </c>
      <c r="B46" s="5" t="s">
        <v>172</v>
      </c>
      <c r="C46" s="12" t="s">
        <v>165</v>
      </c>
      <c r="D46" s="5"/>
      <c r="E46" s="5"/>
      <c r="F46" s="5" t="s">
        <v>22</v>
      </c>
      <c r="G46" s="5" t="s">
        <v>173</v>
      </c>
      <c r="H46" s="4">
        <v>16</v>
      </c>
      <c r="I46" s="4">
        <v>6</v>
      </c>
      <c r="J46" s="4">
        <v>1987</v>
      </c>
      <c r="K46" s="5" t="s">
        <v>174</v>
      </c>
      <c r="L46" s="6" t="s">
        <v>25</v>
      </c>
      <c r="M46" s="5">
        <v>0</v>
      </c>
      <c r="N46" s="5">
        <v>1</v>
      </c>
      <c r="O46" s="5">
        <v>27</v>
      </c>
      <c r="P46" s="5"/>
      <c r="Q46" s="7">
        <f t="shared" si="0"/>
        <v>0</v>
      </c>
      <c r="R46" s="7">
        <f t="shared" si="1"/>
        <v>3.5714285714285712E-2</v>
      </c>
      <c r="S46" s="7">
        <f t="shared" si="2"/>
        <v>0.9642857142857143</v>
      </c>
    </row>
    <row r="47" spans="1:19" ht="16" x14ac:dyDescent="0.2">
      <c r="A47" s="4">
        <v>92556</v>
      </c>
      <c r="B47" s="5" t="s">
        <v>175</v>
      </c>
      <c r="C47" s="12" t="s">
        <v>165</v>
      </c>
      <c r="D47" s="5"/>
      <c r="E47" s="5"/>
      <c r="F47" s="5" t="s">
        <v>176</v>
      </c>
      <c r="G47" s="5" t="s">
        <v>177</v>
      </c>
      <c r="H47" s="4">
        <v>19</v>
      </c>
      <c r="I47" s="4">
        <v>6</v>
      </c>
      <c r="J47" s="4">
        <v>1990</v>
      </c>
      <c r="K47" s="5" t="s">
        <v>178</v>
      </c>
      <c r="L47" s="6" t="s">
        <v>25</v>
      </c>
      <c r="M47" s="5">
        <v>1</v>
      </c>
      <c r="N47" s="5">
        <v>13</v>
      </c>
      <c r="O47" s="5">
        <v>3</v>
      </c>
      <c r="P47" s="5"/>
      <c r="Q47" s="7">
        <f t="shared" si="0"/>
        <v>5.8823529411764705E-2</v>
      </c>
      <c r="R47" s="7">
        <f t="shared" si="1"/>
        <v>0.76470588235294112</v>
      </c>
      <c r="S47" s="7">
        <f t="shared" si="2"/>
        <v>0.17647058823529413</v>
      </c>
    </row>
    <row r="48" spans="1:19" ht="16" x14ac:dyDescent="0.2">
      <c r="A48" s="4">
        <v>153298</v>
      </c>
      <c r="B48" s="5" t="s">
        <v>179</v>
      </c>
      <c r="C48" s="12" t="s">
        <v>165</v>
      </c>
      <c r="D48" s="5"/>
      <c r="E48" s="5"/>
      <c r="F48" s="5" t="s">
        <v>180</v>
      </c>
      <c r="G48" s="4">
        <v>7928</v>
      </c>
      <c r="H48" s="4">
        <v>2</v>
      </c>
      <c r="I48" s="4">
        <v>8</v>
      </c>
      <c r="J48" s="4">
        <v>1979</v>
      </c>
      <c r="K48" s="5" t="s">
        <v>181</v>
      </c>
      <c r="L48" s="6" t="s">
        <v>25</v>
      </c>
      <c r="M48" s="5">
        <v>0</v>
      </c>
      <c r="N48" s="5">
        <v>0</v>
      </c>
      <c r="O48" s="5">
        <v>41</v>
      </c>
      <c r="P48" s="5"/>
      <c r="Q48" s="7">
        <f t="shared" si="0"/>
        <v>0</v>
      </c>
      <c r="R48" s="7">
        <f t="shared" si="1"/>
        <v>0</v>
      </c>
      <c r="S48" s="7">
        <f t="shared" si="2"/>
        <v>1</v>
      </c>
    </row>
    <row r="49" spans="1:19" ht="16" x14ac:dyDescent="0.2">
      <c r="A49" s="4">
        <v>36812</v>
      </c>
      <c r="B49" s="5" t="s">
        <v>182</v>
      </c>
      <c r="C49" s="5" t="s">
        <v>183</v>
      </c>
      <c r="D49" s="5"/>
      <c r="E49" s="5"/>
      <c r="F49" s="5" t="s">
        <v>119</v>
      </c>
      <c r="G49" s="4">
        <v>4753</v>
      </c>
      <c r="H49" s="4">
        <v>6</v>
      </c>
      <c r="I49" s="4">
        <v>7</v>
      </c>
      <c r="J49" s="4">
        <v>1979</v>
      </c>
      <c r="K49" s="5" t="s">
        <v>184</v>
      </c>
      <c r="L49" s="6" t="s">
        <v>25</v>
      </c>
      <c r="M49" s="5">
        <v>0</v>
      </c>
      <c r="N49" s="5">
        <v>0</v>
      </c>
      <c r="O49" s="5">
        <v>153</v>
      </c>
      <c r="P49" s="5"/>
      <c r="Q49" s="7">
        <f t="shared" si="0"/>
        <v>0</v>
      </c>
      <c r="R49" s="7">
        <f t="shared" si="1"/>
        <v>0</v>
      </c>
      <c r="S49" s="7">
        <f t="shared" si="2"/>
        <v>1</v>
      </c>
    </row>
    <row r="50" spans="1:19" ht="16" x14ac:dyDescent="0.2">
      <c r="A50" s="4">
        <v>112814</v>
      </c>
      <c r="B50" s="5" t="s">
        <v>185</v>
      </c>
      <c r="C50" s="5" t="s">
        <v>183</v>
      </c>
      <c r="D50" s="5"/>
      <c r="E50" s="5"/>
      <c r="F50" s="5" t="s">
        <v>186</v>
      </c>
      <c r="G50" s="5" t="s">
        <v>187</v>
      </c>
      <c r="H50" s="4">
        <v>23</v>
      </c>
      <c r="I50" s="4">
        <v>6</v>
      </c>
      <c r="J50" s="4">
        <v>1993</v>
      </c>
      <c r="K50" s="5" t="s">
        <v>145</v>
      </c>
      <c r="L50" s="6" t="s">
        <v>25</v>
      </c>
      <c r="M50" s="5">
        <v>19</v>
      </c>
      <c r="N50" s="5">
        <v>24</v>
      </c>
      <c r="O50" s="5">
        <v>2</v>
      </c>
      <c r="P50" s="5"/>
      <c r="Q50" s="7">
        <f t="shared" si="0"/>
        <v>0.42222222222222222</v>
      </c>
      <c r="R50" s="7">
        <f t="shared" si="1"/>
        <v>0.53333333333333333</v>
      </c>
      <c r="S50" s="7">
        <f t="shared" si="2"/>
        <v>4.4444444444444446E-2</v>
      </c>
    </row>
    <row r="51" spans="1:19" ht="16" x14ac:dyDescent="0.2">
      <c r="A51" s="4">
        <v>112817</v>
      </c>
      <c r="B51" s="5" t="s">
        <v>188</v>
      </c>
      <c r="C51" s="5" t="s">
        <v>183</v>
      </c>
      <c r="D51" s="5"/>
      <c r="E51" s="5"/>
      <c r="F51" s="5" t="s">
        <v>186</v>
      </c>
      <c r="G51" s="5" t="s">
        <v>189</v>
      </c>
      <c r="H51" s="4">
        <v>25</v>
      </c>
      <c r="I51" s="4">
        <v>6</v>
      </c>
      <c r="J51" s="4">
        <v>1993</v>
      </c>
      <c r="K51" s="5" t="s">
        <v>190</v>
      </c>
      <c r="L51" s="6" t="s">
        <v>25</v>
      </c>
      <c r="M51" s="5">
        <v>10</v>
      </c>
      <c r="N51" s="5">
        <v>20</v>
      </c>
      <c r="O51" s="5">
        <v>2</v>
      </c>
      <c r="P51" s="5"/>
      <c r="Q51" s="7">
        <f t="shared" si="0"/>
        <v>0.3125</v>
      </c>
      <c r="R51" s="7">
        <f t="shared" si="1"/>
        <v>0.625</v>
      </c>
      <c r="S51" s="7">
        <f t="shared" si="2"/>
        <v>6.25E-2</v>
      </c>
    </row>
    <row r="52" spans="1:19" ht="16" x14ac:dyDescent="0.2">
      <c r="A52" s="4">
        <v>112873</v>
      </c>
      <c r="B52" s="5" t="s">
        <v>191</v>
      </c>
      <c r="C52" s="5" t="s">
        <v>183</v>
      </c>
      <c r="D52" s="5"/>
      <c r="E52" s="5"/>
      <c r="F52" s="5" t="s">
        <v>125</v>
      </c>
      <c r="G52" s="5" t="s">
        <v>192</v>
      </c>
      <c r="H52" s="4">
        <v>22</v>
      </c>
      <c r="I52" s="4">
        <v>6</v>
      </c>
      <c r="J52" s="4">
        <v>1993</v>
      </c>
      <c r="K52" s="5" t="s">
        <v>193</v>
      </c>
      <c r="L52" s="6" t="s">
        <v>25</v>
      </c>
      <c r="M52" s="5">
        <v>41</v>
      </c>
      <c r="N52" s="5">
        <v>40</v>
      </c>
      <c r="O52" s="5">
        <v>0</v>
      </c>
      <c r="P52" s="5"/>
      <c r="Q52" s="7">
        <f t="shared" si="0"/>
        <v>0.50617283950617287</v>
      </c>
      <c r="R52" s="7">
        <f t="shared" si="1"/>
        <v>0.49382716049382713</v>
      </c>
      <c r="S52" s="7">
        <f t="shared" si="2"/>
        <v>0</v>
      </c>
    </row>
    <row r="53" spans="1:19" ht="16" x14ac:dyDescent="0.2">
      <c r="A53" s="4">
        <v>177526</v>
      </c>
      <c r="B53" s="5" t="s">
        <v>194</v>
      </c>
      <c r="C53" s="5" t="s">
        <v>183</v>
      </c>
      <c r="D53" s="5"/>
      <c r="E53" s="5"/>
      <c r="F53" s="5" t="s">
        <v>113</v>
      </c>
      <c r="G53" s="5" t="s">
        <v>195</v>
      </c>
      <c r="H53" s="4">
        <v>16</v>
      </c>
      <c r="I53" s="4">
        <v>7</v>
      </c>
      <c r="J53" s="4">
        <v>2013</v>
      </c>
      <c r="K53" s="5" t="s">
        <v>196</v>
      </c>
      <c r="L53" s="6" t="s">
        <v>25</v>
      </c>
      <c r="M53" s="5">
        <v>0</v>
      </c>
      <c r="N53" s="5">
        <v>0</v>
      </c>
      <c r="O53" s="5">
        <v>40</v>
      </c>
      <c r="P53" s="5"/>
      <c r="Q53" s="7">
        <f t="shared" si="0"/>
        <v>0</v>
      </c>
      <c r="R53" s="7">
        <f t="shared" si="1"/>
        <v>0</v>
      </c>
      <c r="S53" s="7">
        <f t="shared" si="2"/>
        <v>1</v>
      </c>
    </row>
    <row r="54" spans="1:19" ht="16" x14ac:dyDescent="0.2">
      <c r="A54" s="4">
        <v>188217</v>
      </c>
      <c r="B54" s="5" t="s">
        <v>197</v>
      </c>
      <c r="C54" s="5" t="s">
        <v>183</v>
      </c>
      <c r="D54" s="5"/>
      <c r="E54" s="5"/>
      <c r="F54" s="5" t="s">
        <v>47</v>
      </c>
      <c r="G54" s="5" t="s">
        <v>198</v>
      </c>
      <c r="H54" s="4">
        <v>30</v>
      </c>
      <c r="I54" s="4">
        <v>8</v>
      </c>
      <c r="J54" s="4">
        <v>2018</v>
      </c>
      <c r="K54" s="5" t="s">
        <v>196</v>
      </c>
      <c r="L54" s="6" t="s">
        <v>25</v>
      </c>
      <c r="M54" s="5">
        <v>0</v>
      </c>
      <c r="N54" s="5">
        <v>0</v>
      </c>
      <c r="O54" s="5">
        <v>0</v>
      </c>
      <c r="P54" s="5"/>
      <c r="Q54" s="7" t="e">
        <f t="shared" si="0"/>
        <v>#DIV/0!</v>
      </c>
      <c r="R54" s="7" t="e">
        <f t="shared" si="1"/>
        <v>#DIV/0!</v>
      </c>
      <c r="S54" s="7" t="e">
        <f t="shared" si="2"/>
        <v>#DIV/0!</v>
      </c>
    </row>
    <row r="55" spans="1:19" ht="16" x14ac:dyDescent="0.2">
      <c r="A55" s="4">
        <v>188445</v>
      </c>
      <c r="B55" s="5" t="s">
        <v>199</v>
      </c>
      <c r="C55" s="5" t="s">
        <v>183</v>
      </c>
      <c r="D55" s="5"/>
      <c r="E55" s="5"/>
      <c r="F55" s="5" t="s">
        <v>47</v>
      </c>
      <c r="G55" s="5" t="s">
        <v>200</v>
      </c>
      <c r="H55" s="4">
        <v>20</v>
      </c>
      <c r="I55" s="4">
        <v>6</v>
      </c>
      <c r="J55" s="4">
        <v>2020</v>
      </c>
      <c r="K55" s="5" t="s">
        <v>201</v>
      </c>
      <c r="L55" s="6" t="s">
        <v>25</v>
      </c>
      <c r="M55" s="5">
        <v>0</v>
      </c>
      <c r="N55" s="5">
        <v>0</v>
      </c>
      <c r="O55" s="5">
        <v>0</v>
      </c>
      <c r="P55" s="5"/>
      <c r="Q55" s="7" t="e">
        <f t="shared" si="0"/>
        <v>#DIV/0!</v>
      </c>
      <c r="R55" s="7" t="e">
        <f t="shared" si="1"/>
        <v>#DIV/0!</v>
      </c>
      <c r="S55" s="7" t="e">
        <f t="shared" si="2"/>
        <v>#DIV/0!</v>
      </c>
    </row>
    <row r="56" spans="1:19" ht="16" x14ac:dyDescent="0.2">
      <c r="A56" s="4">
        <v>188446</v>
      </c>
      <c r="B56" s="5" t="s">
        <v>202</v>
      </c>
      <c r="C56" s="5" t="s">
        <v>183</v>
      </c>
      <c r="D56" s="5"/>
      <c r="E56" s="5"/>
      <c r="F56" s="5" t="s">
        <v>47</v>
      </c>
      <c r="G56" s="5" t="s">
        <v>203</v>
      </c>
      <c r="H56" s="4">
        <v>20</v>
      </c>
      <c r="I56" s="4">
        <v>6</v>
      </c>
      <c r="J56" s="4">
        <v>2020</v>
      </c>
      <c r="K56" s="5" t="s">
        <v>204</v>
      </c>
      <c r="L56" s="6" t="s">
        <v>25</v>
      </c>
      <c r="M56" s="5">
        <v>0</v>
      </c>
      <c r="N56" s="5">
        <v>0</v>
      </c>
      <c r="O56" s="5">
        <v>0</v>
      </c>
      <c r="P56" s="5"/>
      <c r="Q56" s="7" t="e">
        <f t="shared" si="0"/>
        <v>#DIV/0!</v>
      </c>
      <c r="R56" s="7" t="e">
        <f t="shared" si="1"/>
        <v>#DIV/0!</v>
      </c>
      <c r="S56" s="7" t="e">
        <f t="shared" si="2"/>
        <v>#DIV/0!</v>
      </c>
    </row>
    <row r="57" spans="1:19" ht="16" x14ac:dyDescent="0.2">
      <c r="A57" s="4">
        <v>177464</v>
      </c>
      <c r="B57" s="5" t="s">
        <v>205</v>
      </c>
      <c r="C57" s="5" t="s">
        <v>206</v>
      </c>
      <c r="D57" s="5"/>
      <c r="E57" s="5"/>
      <c r="F57" s="5" t="s">
        <v>113</v>
      </c>
      <c r="G57" s="5" t="s">
        <v>207</v>
      </c>
      <c r="H57" s="4">
        <v>16</v>
      </c>
      <c r="I57" s="4">
        <v>7</v>
      </c>
      <c r="J57" s="4">
        <v>2013</v>
      </c>
      <c r="K57" s="5" t="s">
        <v>208</v>
      </c>
      <c r="L57" s="6" t="s">
        <v>25</v>
      </c>
      <c r="M57" s="5">
        <v>0</v>
      </c>
      <c r="N57" s="5">
        <v>0</v>
      </c>
      <c r="O57" s="5">
        <v>9</v>
      </c>
      <c r="P57" s="5"/>
      <c r="Q57" s="7">
        <f t="shared" si="0"/>
        <v>0</v>
      </c>
      <c r="R57" s="7">
        <f t="shared" si="1"/>
        <v>0</v>
      </c>
      <c r="S57" s="7">
        <f t="shared" si="2"/>
        <v>1</v>
      </c>
    </row>
    <row r="58" spans="1:19" ht="16" x14ac:dyDescent="0.2">
      <c r="A58" s="4">
        <v>187828</v>
      </c>
      <c r="B58" s="5" t="s">
        <v>209</v>
      </c>
      <c r="C58" s="5" t="s">
        <v>206</v>
      </c>
      <c r="D58" s="5"/>
      <c r="E58" s="5"/>
      <c r="F58" s="5" t="s">
        <v>47</v>
      </c>
      <c r="G58" s="5" t="s">
        <v>210</v>
      </c>
      <c r="H58" s="4">
        <v>25</v>
      </c>
      <c r="I58" s="4">
        <v>9</v>
      </c>
      <c r="J58" s="4">
        <v>2018</v>
      </c>
      <c r="K58" s="5" t="s">
        <v>208</v>
      </c>
      <c r="L58" s="6" t="s">
        <v>25</v>
      </c>
      <c r="M58" s="5">
        <v>0</v>
      </c>
      <c r="N58" s="5">
        <v>0</v>
      </c>
      <c r="O58" s="5">
        <v>0</v>
      </c>
      <c r="P58" s="5"/>
      <c r="Q58" s="7" t="e">
        <f t="shared" si="0"/>
        <v>#DIV/0!</v>
      </c>
      <c r="R58" s="7" t="e">
        <f t="shared" si="1"/>
        <v>#DIV/0!</v>
      </c>
      <c r="S58" s="7" t="e">
        <f t="shared" si="2"/>
        <v>#DIV/0!</v>
      </c>
    </row>
    <row r="59" spans="1:19" ht="16" x14ac:dyDescent="0.2">
      <c r="A59" s="4">
        <v>188222</v>
      </c>
      <c r="B59" s="5" t="s">
        <v>211</v>
      </c>
      <c r="C59" s="5" t="s">
        <v>212</v>
      </c>
      <c r="D59" s="5"/>
      <c r="E59" s="5"/>
      <c r="F59" s="5" t="s">
        <v>47</v>
      </c>
      <c r="G59" s="5" t="s">
        <v>213</v>
      </c>
      <c r="H59" s="4">
        <v>25</v>
      </c>
      <c r="I59" s="4">
        <v>9</v>
      </c>
      <c r="J59" s="4">
        <v>2018</v>
      </c>
      <c r="K59" s="5" t="s">
        <v>214</v>
      </c>
      <c r="L59" s="6" t="s">
        <v>25</v>
      </c>
      <c r="M59" s="5">
        <v>0</v>
      </c>
      <c r="N59" s="5">
        <v>0</v>
      </c>
      <c r="O59" s="5">
        <v>0</v>
      </c>
      <c r="P59" s="5"/>
      <c r="Q59" s="7" t="e">
        <f t="shared" si="0"/>
        <v>#DIV/0!</v>
      </c>
      <c r="R59" s="7" t="e">
        <f t="shared" si="1"/>
        <v>#DIV/0!</v>
      </c>
      <c r="S59" s="7" t="e">
        <f t="shared" si="2"/>
        <v>#DIV/0!</v>
      </c>
    </row>
    <row r="60" spans="1:19" ht="16" x14ac:dyDescent="0.2">
      <c r="A60" s="4">
        <v>74121</v>
      </c>
      <c r="B60" s="5" t="s">
        <v>215</v>
      </c>
      <c r="C60" s="5" t="s">
        <v>216</v>
      </c>
      <c r="D60" s="5"/>
      <c r="E60" s="5"/>
      <c r="F60" s="5" t="s">
        <v>217</v>
      </c>
      <c r="G60" s="5" t="s">
        <v>218</v>
      </c>
      <c r="H60" s="4">
        <v>11</v>
      </c>
      <c r="I60" s="4">
        <v>8</v>
      </c>
      <c r="J60" s="4">
        <v>1987</v>
      </c>
      <c r="K60" s="5" t="s">
        <v>219</v>
      </c>
      <c r="L60" s="6" t="s">
        <v>25</v>
      </c>
      <c r="M60" s="5">
        <v>0</v>
      </c>
      <c r="N60" s="5">
        <v>0</v>
      </c>
      <c r="O60" s="5">
        <v>44</v>
      </c>
      <c r="P60" s="5"/>
      <c r="Q60" s="7">
        <f t="shared" si="0"/>
        <v>0</v>
      </c>
      <c r="R60" s="7">
        <f t="shared" si="1"/>
        <v>0</v>
      </c>
      <c r="S60" s="7">
        <f t="shared" si="2"/>
        <v>1</v>
      </c>
    </row>
    <row r="61" spans="1:19" ht="16" x14ac:dyDescent="0.2">
      <c r="A61" s="4">
        <v>79930</v>
      </c>
      <c r="B61" s="5" t="s">
        <v>220</v>
      </c>
      <c r="C61" s="5" t="s">
        <v>216</v>
      </c>
      <c r="D61" s="5"/>
      <c r="E61" s="5"/>
      <c r="F61" s="5" t="s">
        <v>22</v>
      </c>
      <c r="G61" s="5" t="s">
        <v>221</v>
      </c>
      <c r="H61" s="4">
        <v>22</v>
      </c>
      <c r="I61" s="4">
        <v>6</v>
      </c>
      <c r="J61" s="4">
        <v>1988</v>
      </c>
      <c r="K61" s="5" t="s">
        <v>219</v>
      </c>
      <c r="L61" s="6" t="s">
        <v>25</v>
      </c>
      <c r="M61" s="5">
        <v>26</v>
      </c>
      <c r="N61" s="5">
        <v>9</v>
      </c>
      <c r="O61" s="5">
        <v>0</v>
      </c>
      <c r="P61" s="5"/>
      <c r="Q61" s="7">
        <f t="shared" si="0"/>
        <v>0.74285714285714288</v>
      </c>
      <c r="R61" s="7">
        <f t="shared" si="1"/>
        <v>0.25714285714285712</v>
      </c>
      <c r="S61" s="7">
        <f t="shared" si="2"/>
        <v>0</v>
      </c>
    </row>
    <row r="62" spans="1:19" ht="16" x14ac:dyDescent="0.2">
      <c r="A62" s="4">
        <v>72440</v>
      </c>
      <c r="B62" s="5" t="s">
        <v>222</v>
      </c>
      <c r="C62" s="5" t="s">
        <v>223</v>
      </c>
      <c r="D62" s="5"/>
      <c r="E62" s="5"/>
      <c r="F62" s="5" t="s">
        <v>22</v>
      </c>
      <c r="G62" s="5" t="s">
        <v>224</v>
      </c>
      <c r="H62" s="4">
        <v>16</v>
      </c>
      <c r="I62" s="4">
        <v>6</v>
      </c>
      <c r="J62" s="4">
        <v>1987</v>
      </c>
      <c r="K62" s="5" t="s">
        <v>225</v>
      </c>
      <c r="L62" s="6" t="s">
        <v>25</v>
      </c>
      <c r="M62" s="5">
        <v>0</v>
      </c>
      <c r="N62" s="5">
        <v>0</v>
      </c>
      <c r="O62" s="5">
        <v>21</v>
      </c>
      <c r="P62" s="5"/>
      <c r="Q62" s="7">
        <f t="shared" si="0"/>
        <v>0</v>
      </c>
      <c r="R62" s="7">
        <f t="shared" si="1"/>
        <v>0</v>
      </c>
      <c r="S62" s="7">
        <f t="shared" si="2"/>
        <v>1</v>
      </c>
    </row>
    <row r="63" spans="1:19" ht="16" x14ac:dyDescent="0.2">
      <c r="A63" s="4">
        <v>93284</v>
      </c>
      <c r="B63" s="5" t="s">
        <v>226</v>
      </c>
      <c r="C63" s="5" t="s">
        <v>223</v>
      </c>
      <c r="D63" s="5"/>
      <c r="E63" s="5"/>
      <c r="F63" s="5" t="s">
        <v>31</v>
      </c>
      <c r="G63" s="5" t="s">
        <v>227</v>
      </c>
      <c r="H63" s="4">
        <v>17</v>
      </c>
      <c r="I63" s="4">
        <v>7</v>
      </c>
      <c r="J63" s="4">
        <v>1990</v>
      </c>
      <c r="K63" s="5" t="s">
        <v>228</v>
      </c>
      <c r="L63" s="6" t="s">
        <v>25</v>
      </c>
      <c r="M63" s="5">
        <v>0</v>
      </c>
      <c r="N63" s="5">
        <v>0</v>
      </c>
      <c r="O63" s="5">
        <v>20</v>
      </c>
      <c r="P63" s="5"/>
      <c r="Q63" s="7">
        <f t="shared" si="0"/>
        <v>0</v>
      </c>
      <c r="R63" s="7">
        <f t="shared" si="1"/>
        <v>0</v>
      </c>
      <c r="S63" s="7">
        <f t="shared" si="2"/>
        <v>1</v>
      </c>
    </row>
    <row r="64" spans="1:19" ht="16" x14ac:dyDescent="0.2">
      <c r="A64" s="4">
        <v>120632</v>
      </c>
      <c r="B64" s="5" t="s">
        <v>229</v>
      </c>
      <c r="C64" s="5" t="s">
        <v>223</v>
      </c>
      <c r="D64" s="5"/>
      <c r="E64" s="5"/>
      <c r="F64" s="5" t="s">
        <v>31</v>
      </c>
      <c r="G64" s="5" t="s">
        <v>230</v>
      </c>
      <c r="H64" s="4">
        <v>16</v>
      </c>
      <c r="I64" s="4">
        <v>8</v>
      </c>
      <c r="J64" s="4">
        <v>1994</v>
      </c>
      <c r="K64" s="5" t="s">
        <v>231</v>
      </c>
      <c r="L64" s="6" t="s">
        <v>25</v>
      </c>
      <c r="M64" s="5">
        <v>0</v>
      </c>
      <c r="N64" s="5">
        <v>0</v>
      </c>
      <c r="O64" s="5">
        <v>13</v>
      </c>
      <c r="P64" s="5"/>
      <c r="Q64" s="7">
        <f t="shared" si="0"/>
        <v>0</v>
      </c>
      <c r="R64" s="7">
        <f t="shared" si="1"/>
        <v>0</v>
      </c>
      <c r="S64" s="7">
        <f t="shared" si="2"/>
        <v>1</v>
      </c>
    </row>
    <row r="65" spans="1:19" ht="16" x14ac:dyDescent="0.2">
      <c r="A65" s="4">
        <v>187829</v>
      </c>
      <c r="B65" s="5" t="s">
        <v>232</v>
      </c>
      <c r="C65" s="5" t="s">
        <v>223</v>
      </c>
      <c r="D65" s="5"/>
      <c r="E65" s="5"/>
      <c r="F65" s="5" t="s">
        <v>47</v>
      </c>
      <c r="G65" s="5" t="s">
        <v>233</v>
      </c>
      <c r="H65" s="4">
        <v>25</v>
      </c>
      <c r="I65" s="4">
        <v>9</v>
      </c>
      <c r="J65" s="4">
        <v>2018</v>
      </c>
      <c r="K65" s="5" t="s">
        <v>234</v>
      </c>
      <c r="L65" s="6" t="s">
        <v>25</v>
      </c>
      <c r="M65" s="5">
        <v>0</v>
      </c>
      <c r="N65" s="5">
        <v>0</v>
      </c>
      <c r="O65" s="5">
        <v>2</v>
      </c>
      <c r="P65" s="5"/>
      <c r="Q65" s="7">
        <f t="shared" si="0"/>
        <v>0</v>
      </c>
      <c r="R65" s="7">
        <f t="shared" si="1"/>
        <v>0</v>
      </c>
      <c r="S65" s="7">
        <f t="shared" si="2"/>
        <v>1</v>
      </c>
    </row>
    <row r="66" spans="1:19" ht="16" x14ac:dyDescent="0.2">
      <c r="A66" s="4">
        <v>74770</v>
      </c>
      <c r="B66" s="5" t="s">
        <v>235</v>
      </c>
      <c r="C66" s="5" t="s">
        <v>236</v>
      </c>
      <c r="D66" s="5"/>
      <c r="E66" s="5"/>
      <c r="F66" s="5" t="s">
        <v>22</v>
      </c>
      <c r="G66" s="5" t="s">
        <v>237</v>
      </c>
      <c r="H66" s="4">
        <v>23</v>
      </c>
      <c r="I66" s="4">
        <v>6</v>
      </c>
      <c r="J66" s="4">
        <v>1987</v>
      </c>
      <c r="K66" s="5" t="s">
        <v>238</v>
      </c>
      <c r="L66" s="6" t="s">
        <v>25</v>
      </c>
      <c r="M66" s="5">
        <v>2</v>
      </c>
      <c r="N66" s="5">
        <v>56</v>
      </c>
      <c r="O66" s="5">
        <v>3</v>
      </c>
      <c r="P66" s="5"/>
      <c r="Q66" s="7">
        <f t="shared" si="0"/>
        <v>3.2786885245901641E-2</v>
      </c>
      <c r="R66" s="7">
        <f t="shared" si="1"/>
        <v>0.91803278688524592</v>
      </c>
      <c r="S66" s="7">
        <f t="shared" si="2"/>
        <v>4.9180327868852458E-2</v>
      </c>
    </row>
    <row r="67" spans="1:19" ht="16" x14ac:dyDescent="0.2">
      <c r="A67" s="4">
        <v>75703</v>
      </c>
      <c r="B67" s="5" t="s">
        <v>239</v>
      </c>
      <c r="C67" s="5" t="s">
        <v>236</v>
      </c>
      <c r="D67" s="5"/>
      <c r="E67" s="5"/>
      <c r="F67" s="5" t="s">
        <v>22</v>
      </c>
      <c r="G67" s="5" t="s">
        <v>240</v>
      </c>
      <c r="H67" s="4">
        <v>7</v>
      </c>
      <c r="I67" s="4">
        <v>7</v>
      </c>
      <c r="J67" s="4">
        <v>1987</v>
      </c>
      <c r="K67" s="5" t="s">
        <v>241</v>
      </c>
      <c r="L67" s="6" t="s">
        <v>25</v>
      </c>
      <c r="M67" s="5">
        <v>0</v>
      </c>
      <c r="N67" s="5">
        <v>0</v>
      </c>
      <c r="O67" s="5">
        <v>101</v>
      </c>
      <c r="P67" s="5"/>
      <c r="Q67" s="7">
        <f t="shared" si="0"/>
        <v>0</v>
      </c>
      <c r="R67" s="7">
        <f t="shared" si="1"/>
        <v>0</v>
      </c>
      <c r="S67" s="7">
        <f t="shared" si="2"/>
        <v>1</v>
      </c>
    </row>
    <row r="68" spans="1:19" ht="16" x14ac:dyDescent="0.2">
      <c r="A68" s="4">
        <v>75704</v>
      </c>
      <c r="B68" s="5" t="s">
        <v>242</v>
      </c>
      <c r="C68" s="5" t="s">
        <v>236</v>
      </c>
      <c r="D68" s="5"/>
      <c r="E68" s="5"/>
      <c r="F68" s="5" t="s">
        <v>22</v>
      </c>
      <c r="G68" s="5" t="s">
        <v>243</v>
      </c>
      <c r="H68" s="4">
        <v>7</v>
      </c>
      <c r="I68" s="4">
        <v>7</v>
      </c>
      <c r="J68" s="4">
        <v>1987</v>
      </c>
      <c r="K68" s="5" t="s">
        <v>244</v>
      </c>
      <c r="L68" s="6" t="s">
        <v>25</v>
      </c>
      <c r="M68" s="5">
        <v>0</v>
      </c>
      <c r="N68" s="5">
        <v>0</v>
      </c>
      <c r="O68" s="5">
        <v>25</v>
      </c>
      <c r="P68" s="5"/>
      <c r="Q68" s="7">
        <f t="shared" si="0"/>
        <v>0</v>
      </c>
      <c r="R68" s="7">
        <f t="shared" si="1"/>
        <v>0</v>
      </c>
      <c r="S68" s="7">
        <f t="shared" si="2"/>
        <v>1</v>
      </c>
    </row>
    <row r="69" spans="1:19" ht="16" x14ac:dyDescent="0.2">
      <c r="A69" s="4">
        <v>122449</v>
      </c>
      <c r="B69" s="5" t="s">
        <v>245</v>
      </c>
      <c r="C69" s="5" t="s">
        <v>236</v>
      </c>
      <c r="D69" s="5"/>
      <c r="E69" s="5"/>
      <c r="F69" s="5" t="s">
        <v>246</v>
      </c>
      <c r="G69" s="5" t="s">
        <v>247</v>
      </c>
      <c r="H69" s="4">
        <v>25</v>
      </c>
      <c r="I69" s="4">
        <v>6</v>
      </c>
      <c r="J69" s="4">
        <v>2004</v>
      </c>
      <c r="K69" s="5" t="s">
        <v>248</v>
      </c>
      <c r="L69" s="6" t="s">
        <v>25</v>
      </c>
      <c r="M69" s="5">
        <v>38</v>
      </c>
      <c r="N69" s="5">
        <v>53</v>
      </c>
      <c r="O69" s="5">
        <v>0</v>
      </c>
      <c r="P69" s="5"/>
      <c r="Q69" s="7">
        <f t="shared" si="0"/>
        <v>0.4175824175824176</v>
      </c>
      <c r="R69" s="7">
        <f t="shared" si="1"/>
        <v>0.58241758241758246</v>
      </c>
      <c r="S69" s="7">
        <f t="shared" si="2"/>
        <v>0</v>
      </c>
    </row>
    <row r="70" spans="1:19" ht="16" x14ac:dyDescent="0.2">
      <c r="A70" s="4">
        <v>142821</v>
      </c>
      <c r="B70" s="5" t="s">
        <v>249</v>
      </c>
      <c r="C70" s="5" t="s">
        <v>236</v>
      </c>
      <c r="D70" s="5"/>
      <c r="E70" s="5"/>
      <c r="F70" s="5" t="s">
        <v>250</v>
      </c>
      <c r="G70" s="5" t="s">
        <v>251</v>
      </c>
      <c r="H70" s="4">
        <v>28</v>
      </c>
      <c r="I70" s="4">
        <v>6</v>
      </c>
      <c r="J70" s="4">
        <v>1998</v>
      </c>
      <c r="K70" s="5" t="s">
        <v>252</v>
      </c>
      <c r="L70" s="6" t="s">
        <v>25</v>
      </c>
      <c r="M70" s="5">
        <v>0</v>
      </c>
      <c r="N70" s="5">
        <v>17</v>
      </c>
      <c r="O70" s="5">
        <v>4</v>
      </c>
      <c r="P70" s="5"/>
      <c r="Q70" s="7">
        <f t="shared" si="0"/>
        <v>0</v>
      </c>
      <c r="R70" s="7">
        <f t="shared" si="1"/>
        <v>0.80952380952380953</v>
      </c>
      <c r="S70" s="7">
        <f t="shared" si="2"/>
        <v>0.19047619047619047</v>
      </c>
    </row>
    <row r="71" spans="1:19" ht="16" x14ac:dyDescent="0.2">
      <c r="A71" s="4">
        <v>153300</v>
      </c>
      <c r="B71" s="5" t="s">
        <v>253</v>
      </c>
      <c r="C71" s="5" t="s">
        <v>236</v>
      </c>
      <c r="D71" s="5"/>
      <c r="E71" s="5"/>
      <c r="F71" s="5" t="s">
        <v>180</v>
      </c>
      <c r="G71" s="4">
        <v>7921</v>
      </c>
      <c r="H71" s="4">
        <v>2</v>
      </c>
      <c r="I71" s="4">
        <v>8</v>
      </c>
      <c r="J71" s="4">
        <v>1979</v>
      </c>
      <c r="K71" s="5" t="s">
        <v>254</v>
      </c>
      <c r="L71" s="6" t="s">
        <v>25</v>
      </c>
      <c r="M71" s="5">
        <v>0</v>
      </c>
      <c r="N71" s="5">
        <v>0</v>
      </c>
      <c r="O71" s="5">
        <v>1</v>
      </c>
      <c r="P71" s="5"/>
      <c r="Q71" s="7">
        <f t="shared" si="0"/>
        <v>0</v>
      </c>
      <c r="R71" s="7">
        <f t="shared" si="1"/>
        <v>0</v>
      </c>
      <c r="S71" s="7">
        <f t="shared" si="2"/>
        <v>1</v>
      </c>
    </row>
    <row r="72" spans="1:19" ht="16" x14ac:dyDescent="0.2">
      <c r="A72" s="4">
        <v>153303</v>
      </c>
      <c r="B72" s="5" t="s">
        <v>255</v>
      </c>
      <c r="C72" s="5" t="s">
        <v>236</v>
      </c>
      <c r="D72" s="5"/>
      <c r="E72" s="5"/>
      <c r="F72" s="5" t="s">
        <v>180</v>
      </c>
      <c r="G72" s="4">
        <v>7922</v>
      </c>
      <c r="H72" s="4">
        <v>2</v>
      </c>
      <c r="I72" s="4">
        <v>8</v>
      </c>
      <c r="J72" s="4">
        <v>1979</v>
      </c>
      <c r="K72" s="5" t="s">
        <v>256</v>
      </c>
      <c r="L72" s="6" t="s">
        <v>25</v>
      </c>
      <c r="M72" s="5">
        <v>0</v>
      </c>
      <c r="N72" s="5">
        <v>0</v>
      </c>
      <c r="O72" s="5">
        <v>0</v>
      </c>
      <c r="P72" s="5"/>
      <c r="Q72" s="7" t="e">
        <f t="shared" si="0"/>
        <v>#DIV/0!</v>
      </c>
      <c r="R72" s="7" t="e">
        <f t="shared" si="1"/>
        <v>#DIV/0!</v>
      </c>
      <c r="S72" s="7" t="e">
        <f t="shared" si="2"/>
        <v>#DIV/0!</v>
      </c>
    </row>
    <row r="73" spans="1:19" ht="16" x14ac:dyDescent="0.2">
      <c r="A73" s="4">
        <v>159681</v>
      </c>
      <c r="B73" s="5" t="s">
        <v>257</v>
      </c>
      <c r="C73" s="5" t="s">
        <v>236</v>
      </c>
      <c r="D73" s="5"/>
      <c r="E73" s="5"/>
      <c r="F73" s="5" t="s">
        <v>258</v>
      </c>
      <c r="G73" s="5" t="s">
        <v>259</v>
      </c>
      <c r="H73" s="4">
        <v>6</v>
      </c>
      <c r="I73" s="4">
        <v>7</v>
      </c>
      <c r="J73" s="4">
        <v>2005</v>
      </c>
      <c r="K73" s="5" t="s">
        <v>260</v>
      </c>
      <c r="L73" s="6" t="s">
        <v>25</v>
      </c>
      <c r="M73" s="5">
        <v>0</v>
      </c>
      <c r="N73" s="5">
        <v>3</v>
      </c>
      <c r="O73" s="5">
        <v>92</v>
      </c>
      <c r="P73" s="5"/>
      <c r="Q73" s="7">
        <f t="shared" si="0"/>
        <v>0</v>
      </c>
      <c r="R73" s="7">
        <f t="shared" si="1"/>
        <v>3.1578947368421054E-2</v>
      </c>
      <c r="S73" s="7">
        <f t="shared" si="2"/>
        <v>0.96842105263157896</v>
      </c>
    </row>
    <row r="74" spans="1:19" ht="16" x14ac:dyDescent="0.2">
      <c r="A74" s="4">
        <v>188215</v>
      </c>
      <c r="B74" s="5" t="s">
        <v>261</v>
      </c>
      <c r="C74" s="5" t="s">
        <v>236</v>
      </c>
      <c r="D74" s="5"/>
      <c r="E74" s="5"/>
      <c r="F74" s="5" t="s">
        <v>47</v>
      </c>
      <c r="G74" s="5" t="s">
        <v>262</v>
      </c>
      <c r="H74" s="4">
        <v>30</v>
      </c>
      <c r="I74" s="4">
        <v>8</v>
      </c>
      <c r="J74" s="4">
        <v>2018</v>
      </c>
      <c r="K74" s="5" t="s">
        <v>263</v>
      </c>
      <c r="L74" s="6" t="s">
        <v>25</v>
      </c>
      <c r="M74" s="5">
        <v>0</v>
      </c>
      <c r="N74" s="5">
        <v>0</v>
      </c>
      <c r="O74" s="5">
        <v>11</v>
      </c>
      <c r="P74" s="5"/>
      <c r="Q74" s="7">
        <f t="shared" si="0"/>
        <v>0</v>
      </c>
      <c r="R74" s="7">
        <f t="shared" si="1"/>
        <v>0</v>
      </c>
      <c r="S74" s="7">
        <f t="shared" si="2"/>
        <v>1</v>
      </c>
    </row>
    <row r="75" spans="1:19" ht="16" x14ac:dyDescent="0.2">
      <c r="A75" s="4">
        <v>117216</v>
      </c>
      <c r="B75" s="5"/>
      <c r="C75" s="8" t="s">
        <v>264</v>
      </c>
      <c r="D75" s="5"/>
      <c r="E75" s="5"/>
      <c r="F75" s="5" t="s">
        <v>265</v>
      </c>
      <c r="G75" s="5" t="s">
        <v>266</v>
      </c>
      <c r="H75" s="4">
        <v>1</v>
      </c>
      <c r="I75" s="4">
        <v>9</v>
      </c>
      <c r="J75" s="4">
        <v>1993</v>
      </c>
      <c r="K75" s="5" t="s">
        <v>267</v>
      </c>
      <c r="L75" s="6" t="s">
        <v>116</v>
      </c>
      <c r="Q75" s="7" t="e">
        <f t="shared" si="0"/>
        <v>#DIV/0!</v>
      </c>
      <c r="R75" s="7" t="e">
        <f t="shared" si="1"/>
        <v>#DIV/0!</v>
      </c>
      <c r="S75" s="7" t="e">
        <f t="shared" si="2"/>
        <v>#DIV/0!</v>
      </c>
    </row>
    <row r="76" spans="1:19" ht="16" x14ac:dyDescent="0.2">
      <c r="A76" s="4">
        <v>188468</v>
      </c>
      <c r="B76" s="5" t="s">
        <v>268</v>
      </c>
      <c r="C76" s="5" t="s">
        <v>264</v>
      </c>
      <c r="D76" s="5"/>
      <c r="E76" s="5"/>
      <c r="F76" s="5" t="s">
        <v>47</v>
      </c>
      <c r="G76" s="5" t="s">
        <v>269</v>
      </c>
      <c r="H76" s="4">
        <v>4</v>
      </c>
      <c r="I76" s="4">
        <v>6</v>
      </c>
      <c r="J76" s="4">
        <v>2019</v>
      </c>
      <c r="K76" s="5" t="s">
        <v>270</v>
      </c>
      <c r="L76" s="6" t="s">
        <v>25</v>
      </c>
      <c r="M76" s="13">
        <v>61</v>
      </c>
      <c r="N76" s="13">
        <v>0</v>
      </c>
      <c r="O76" s="13">
        <v>0</v>
      </c>
      <c r="Q76" s="7">
        <f t="shared" si="0"/>
        <v>1</v>
      </c>
      <c r="R76" s="7">
        <f t="shared" si="1"/>
        <v>0</v>
      </c>
      <c r="S76" s="7">
        <f t="shared" si="2"/>
        <v>0</v>
      </c>
    </row>
    <row r="77" spans="1:19" ht="16" x14ac:dyDescent="0.2">
      <c r="A77" s="4">
        <v>182412</v>
      </c>
      <c r="B77" s="5" t="s">
        <v>271</v>
      </c>
      <c r="C77" s="5" t="s">
        <v>272</v>
      </c>
      <c r="D77" s="5"/>
      <c r="E77" s="5"/>
      <c r="F77" s="5" t="s">
        <v>273</v>
      </c>
      <c r="G77" s="5" t="s">
        <v>274</v>
      </c>
      <c r="H77" s="4">
        <v>25</v>
      </c>
      <c r="I77" s="4">
        <v>10</v>
      </c>
      <c r="J77" s="4">
        <v>2016</v>
      </c>
      <c r="K77" s="5" t="s">
        <v>270</v>
      </c>
      <c r="L77" s="6" t="s">
        <v>25</v>
      </c>
      <c r="M77" s="13">
        <v>0</v>
      </c>
      <c r="N77" s="13">
        <v>0</v>
      </c>
      <c r="O77" s="13">
        <v>1</v>
      </c>
      <c r="Q77" s="7">
        <f t="shared" si="0"/>
        <v>0</v>
      </c>
      <c r="R77" s="7">
        <f t="shared" si="1"/>
        <v>0</v>
      </c>
      <c r="S77" s="7">
        <f t="shared" si="2"/>
        <v>1</v>
      </c>
    </row>
    <row r="78" spans="1:19" ht="16" x14ac:dyDescent="0.2">
      <c r="A78" s="4">
        <v>170420</v>
      </c>
      <c r="B78" s="5" t="s">
        <v>275</v>
      </c>
      <c r="C78" s="5" t="s">
        <v>276</v>
      </c>
      <c r="D78" s="5"/>
      <c r="E78" s="5"/>
      <c r="F78" s="5" t="s">
        <v>277</v>
      </c>
      <c r="G78" s="5" t="s">
        <v>278</v>
      </c>
      <c r="H78" s="4">
        <v>9</v>
      </c>
      <c r="I78" s="4">
        <v>7</v>
      </c>
      <c r="J78" s="4">
        <v>2009</v>
      </c>
      <c r="K78" s="5" t="s">
        <v>279</v>
      </c>
      <c r="L78" s="6" t="s">
        <v>25</v>
      </c>
      <c r="M78" s="13">
        <v>0</v>
      </c>
      <c r="N78" s="13">
        <v>0</v>
      </c>
      <c r="O78" s="13">
        <v>7</v>
      </c>
      <c r="Q78" s="7">
        <f t="shared" si="0"/>
        <v>0</v>
      </c>
      <c r="R78" s="7">
        <f t="shared" si="1"/>
        <v>0</v>
      </c>
      <c r="S78" s="7">
        <f t="shared" si="2"/>
        <v>1</v>
      </c>
    </row>
    <row r="79" spans="1:19" ht="16" x14ac:dyDescent="0.2">
      <c r="A79" s="4">
        <v>176994</v>
      </c>
      <c r="B79" s="5" t="s">
        <v>280</v>
      </c>
      <c r="C79" s="5" t="s">
        <v>276</v>
      </c>
      <c r="D79" s="5"/>
      <c r="E79" s="5"/>
      <c r="F79" s="5" t="s">
        <v>159</v>
      </c>
      <c r="G79" s="5" t="s">
        <v>281</v>
      </c>
      <c r="H79" s="4">
        <v>25</v>
      </c>
      <c r="I79" s="4">
        <v>7</v>
      </c>
      <c r="J79" s="4">
        <v>2013</v>
      </c>
      <c r="K79" s="5" t="s">
        <v>282</v>
      </c>
      <c r="L79" s="6" t="s">
        <v>25</v>
      </c>
      <c r="M79" s="13">
        <v>0</v>
      </c>
      <c r="N79" s="13">
        <v>0</v>
      </c>
      <c r="O79" s="13">
        <v>24</v>
      </c>
      <c r="Q79" s="7">
        <f t="shared" si="0"/>
        <v>0</v>
      </c>
      <c r="R79" s="7">
        <f t="shared" si="1"/>
        <v>0</v>
      </c>
      <c r="S79" s="7">
        <f t="shared" si="2"/>
        <v>1</v>
      </c>
    </row>
    <row r="80" spans="1:19" ht="16" x14ac:dyDescent="0.2">
      <c r="A80" s="4">
        <v>177467</v>
      </c>
      <c r="B80" s="5" t="s">
        <v>283</v>
      </c>
      <c r="C80" s="5" t="s">
        <v>276</v>
      </c>
      <c r="D80" s="5"/>
      <c r="E80" s="5"/>
      <c r="F80" s="5" t="s">
        <v>35</v>
      </c>
      <c r="G80" s="5" t="s">
        <v>284</v>
      </c>
      <c r="H80" s="4">
        <v>25</v>
      </c>
      <c r="I80" s="4">
        <v>7</v>
      </c>
      <c r="J80" s="4">
        <v>2013</v>
      </c>
      <c r="K80" s="5" t="s">
        <v>285</v>
      </c>
      <c r="L80" s="6" t="s">
        <v>25</v>
      </c>
      <c r="M80" s="13">
        <v>0</v>
      </c>
      <c r="N80" s="13">
        <v>0</v>
      </c>
      <c r="O80" s="13">
        <v>82</v>
      </c>
      <c r="Q80" s="7">
        <f t="shared" si="0"/>
        <v>0</v>
      </c>
      <c r="R80" s="7">
        <f t="shared" si="1"/>
        <v>0</v>
      </c>
      <c r="S80" s="7">
        <f t="shared" si="2"/>
        <v>1</v>
      </c>
    </row>
    <row r="81" spans="1:19" ht="16" x14ac:dyDescent="0.2">
      <c r="A81" s="4">
        <v>177468</v>
      </c>
      <c r="B81" s="5" t="s">
        <v>286</v>
      </c>
      <c r="C81" s="5" t="s">
        <v>276</v>
      </c>
      <c r="D81" s="5"/>
      <c r="E81" s="5"/>
      <c r="F81" s="5" t="s">
        <v>35</v>
      </c>
      <c r="G81" s="5" t="s">
        <v>287</v>
      </c>
      <c r="H81" s="4">
        <v>25</v>
      </c>
      <c r="I81" s="4">
        <v>7</v>
      </c>
      <c r="J81" s="4">
        <v>2013</v>
      </c>
      <c r="K81" s="5" t="s">
        <v>288</v>
      </c>
      <c r="L81" s="6" t="s">
        <v>25</v>
      </c>
      <c r="M81" s="13">
        <v>0</v>
      </c>
      <c r="N81" s="13">
        <v>0</v>
      </c>
      <c r="O81" s="13">
        <v>75</v>
      </c>
      <c r="Q81" s="7">
        <f t="shared" si="0"/>
        <v>0</v>
      </c>
      <c r="R81" s="7">
        <f t="shared" si="1"/>
        <v>0</v>
      </c>
      <c r="S81" s="7">
        <f t="shared" si="2"/>
        <v>1</v>
      </c>
    </row>
    <row r="82" spans="1:19" ht="16" x14ac:dyDescent="0.2">
      <c r="A82" s="4">
        <v>187836</v>
      </c>
      <c r="B82" s="5" t="s">
        <v>289</v>
      </c>
      <c r="C82" s="5" t="s">
        <v>276</v>
      </c>
      <c r="D82" s="5"/>
      <c r="E82" s="5"/>
      <c r="F82" s="5" t="s">
        <v>47</v>
      </c>
      <c r="G82" s="5" t="s">
        <v>290</v>
      </c>
      <c r="H82" s="4">
        <v>9</v>
      </c>
      <c r="I82" s="4">
        <v>8</v>
      </c>
      <c r="J82" s="4">
        <v>2018</v>
      </c>
      <c r="K82" s="5" t="s">
        <v>279</v>
      </c>
      <c r="L82" s="6" t="s">
        <v>25</v>
      </c>
      <c r="M82" s="13">
        <v>0</v>
      </c>
      <c r="N82" s="13">
        <v>0</v>
      </c>
      <c r="O82" s="13">
        <v>16</v>
      </c>
      <c r="Q82" s="7">
        <f t="shared" si="0"/>
        <v>0</v>
      </c>
      <c r="R82" s="7">
        <f t="shared" si="1"/>
        <v>0</v>
      </c>
      <c r="S82" s="7">
        <f t="shared" si="2"/>
        <v>1</v>
      </c>
    </row>
    <row r="83" spans="1:19" ht="16" x14ac:dyDescent="0.2">
      <c r="A83" s="4">
        <v>188448</v>
      </c>
      <c r="B83" s="5" t="s">
        <v>291</v>
      </c>
      <c r="C83" s="5" t="s">
        <v>276</v>
      </c>
      <c r="D83" s="5"/>
      <c r="E83" s="5"/>
      <c r="F83" s="5" t="s">
        <v>47</v>
      </c>
      <c r="G83" s="5" t="s">
        <v>292</v>
      </c>
      <c r="H83" s="4">
        <v>13</v>
      </c>
      <c r="I83" s="4">
        <v>8</v>
      </c>
      <c r="J83" s="4">
        <v>2020</v>
      </c>
      <c r="K83" s="5" t="s">
        <v>282</v>
      </c>
      <c r="L83" s="6" t="s">
        <v>25</v>
      </c>
      <c r="M83" s="13">
        <v>0</v>
      </c>
      <c r="N83" s="13">
        <v>0</v>
      </c>
      <c r="O83" s="13">
        <v>0</v>
      </c>
      <c r="Q83" s="7" t="e">
        <f t="shared" si="0"/>
        <v>#DIV/0!</v>
      </c>
      <c r="R83" s="7" t="e">
        <f t="shared" si="1"/>
        <v>#DIV/0!</v>
      </c>
      <c r="S83" s="7" t="e">
        <f t="shared" si="2"/>
        <v>#DIV/0!</v>
      </c>
    </row>
    <row r="84" spans="1:19" ht="16" x14ac:dyDescent="0.2">
      <c r="A84" s="4">
        <v>187832</v>
      </c>
      <c r="B84" s="5" t="s">
        <v>293</v>
      </c>
      <c r="C84" s="5" t="s">
        <v>294</v>
      </c>
      <c r="D84" s="5"/>
      <c r="E84" s="5"/>
      <c r="F84" s="5" t="s">
        <v>47</v>
      </c>
      <c r="G84" s="5" t="s">
        <v>295</v>
      </c>
      <c r="H84" s="4">
        <v>13</v>
      </c>
      <c r="I84" s="4">
        <v>9</v>
      </c>
      <c r="J84" s="4">
        <v>2018</v>
      </c>
      <c r="K84" s="5" t="s">
        <v>296</v>
      </c>
      <c r="L84" s="6" t="s">
        <v>25</v>
      </c>
      <c r="M84" s="13">
        <v>0</v>
      </c>
      <c r="N84" s="13">
        <v>0</v>
      </c>
      <c r="O84" s="13">
        <v>0</v>
      </c>
      <c r="Q84" s="7" t="e">
        <f t="shared" si="0"/>
        <v>#DIV/0!</v>
      </c>
      <c r="R84" s="7" t="e">
        <f t="shared" si="1"/>
        <v>#DIV/0!</v>
      </c>
      <c r="S84" s="7" t="e">
        <f t="shared" si="2"/>
        <v>#DIV/0!</v>
      </c>
    </row>
    <row r="85" spans="1:19" ht="16" x14ac:dyDescent="0.2">
      <c r="A85" s="4">
        <v>34695</v>
      </c>
      <c r="B85" s="5" t="s">
        <v>297</v>
      </c>
      <c r="C85" s="5" t="s">
        <v>298</v>
      </c>
      <c r="D85" s="5"/>
      <c r="E85" s="5"/>
      <c r="F85" s="5" t="s">
        <v>119</v>
      </c>
      <c r="G85" s="4">
        <v>4450</v>
      </c>
      <c r="H85" s="4">
        <v>6</v>
      </c>
      <c r="I85" s="4">
        <v>10</v>
      </c>
      <c r="J85" s="4">
        <v>1978</v>
      </c>
      <c r="K85" s="5" t="s">
        <v>299</v>
      </c>
      <c r="L85" s="6" t="s">
        <v>25</v>
      </c>
      <c r="M85" s="13">
        <v>0</v>
      </c>
      <c r="N85" s="13">
        <v>0</v>
      </c>
      <c r="O85" s="13">
        <v>7</v>
      </c>
      <c r="Q85" s="7">
        <f t="shared" si="0"/>
        <v>0</v>
      </c>
      <c r="R85" s="7">
        <f t="shared" si="1"/>
        <v>0</v>
      </c>
      <c r="S85" s="7">
        <f t="shared" si="2"/>
        <v>1</v>
      </c>
    </row>
    <row r="86" spans="1:19" ht="16" x14ac:dyDescent="0.2">
      <c r="A86" s="4">
        <v>36827</v>
      </c>
      <c r="B86" s="5" t="s">
        <v>300</v>
      </c>
      <c r="C86" s="8" t="s">
        <v>298</v>
      </c>
      <c r="D86" s="5"/>
      <c r="E86" s="5"/>
      <c r="F86" s="5" t="s">
        <v>119</v>
      </c>
      <c r="G86" s="4">
        <v>4760</v>
      </c>
      <c r="H86" s="4">
        <v>9</v>
      </c>
      <c r="I86" s="4">
        <v>7</v>
      </c>
      <c r="J86" s="4">
        <v>1979</v>
      </c>
      <c r="K86" s="5" t="s">
        <v>301</v>
      </c>
      <c r="L86" s="6" t="s">
        <v>116</v>
      </c>
      <c r="Q86" s="7" t="e">
        <f t="shared" si="0"/>
        <v>#DIV/0!</v>
      </c>
      <c r="R86" s="7" t="e">
        <f t="shared" si="1"/>
        <v>#DIV/0!</v>
      </c>
      <c r="S86" s="7" t="e">
        <f t="shared" si="2"/>
        <v>#DIV/0!</v>
      </c>
    </row>
    <row r="87" spans="1:19" ht="16" x14ac:dyDescent="0.2">
      <c r="A87" s="4">
        <v>112864</v>
      </c>
      <c r="B87" s="5" t="s">
        <v>302</v>
      </c>
      <c r="C87" s="5" t="s">
        <v>298</v>
      </c>
      <c r="D87" s="5"/>
      <c r="E87" s="5"/>
      <c r="F87" s="5" t="s">
        <v>186</v>
      </c>
      <c r="G87" s="5" t="s">
        <v>303</v>
      </c>
      <c r="H87" s="4">
        <v>23</v>
      </c>
      <c r="I87" s="4">
        <v>6</v>
      </c>
      <c r="J87" s="4">
        <v>1993</v>
      </c>
      <c r="K87" s="5" t="s">
        <v>304</v>
      </c>
      <c r="L87" s="6" t="s">
        <v>25</v>
      </c>
      <c r="M87" s="13">
        <v>91</v>
      </c>
      <c r="N87" s="13">
        <v>19</v>
      </c>
      <c r="O87" s="13">
        <v>0</v>
      </c>
      <c r="Q87" s="7">
        <f t="shared" si="0"/>
        <v>0.82727272727272727</v>
      </c>
      <c r="R87" s="7">
        <f t="shared" si="1"/>
        <v>0.17272727272727273</v>
      </c>
      <c r="S87" s="7">
        <f t="shared" si="2"/>
        <v>0</v>
      </c>
    </row>
    <row r="88" spans="1:19" ht="16" x14ac:dyDescent="0.2">
      <c r="A88" s="4">
        <v>120577</v>
      </c>
      <c r="B88" s="5" t="s">
        <v>305</v>
      </c>
      <c r="C88" s="5" t="s">
        <v>298</v>
      </c>
      <c r="D88" s="5"/>
      <c r="E88" s="5"/>
      <c r="F88" s="5" t="s">
        <v>31</v>
      </c>
      <c r="G88" s="5" t="s">
        <v>306</v>
      </c>
      <c r="H88" s="4">
        <v>16</v>
      </c>
      <c r="I88" s="4">
        <v>8</v>
      </c>
      <c r="J88" s="4">
        <v>1994</v>
      </c>
      <c r="K88" s="5" t="s">
        <v>307</v>
      </c>
      <c r="L88" s="6" t="s">
        <v>25</v>
      </c>
      <c r="M88" s="13">
        <v>0</v>
      </c>
      <c r="N88" s="13">
        <v>0</v>
      </c>
      <c r="O88" s="13">
        <v>12</v>
      </c>
      <c r="Q88" s="7">
        <f t="shared" si="0"/>
        <v>0</v>
      </c>
      <c r="R88" s="7">
        <f t="shared" si="1"/>
        <v>0</v>
      </c>
      <c r="S88" s="7">
        <f t="shared" si="2"/>
        <v>1</v>
      </c>
    </row>
    <row r="89" spans="1:19" ht="16" x14ac:dyDescent="0.2">
      <c r="A89" s="4">
        <v>122218</v>
      </c>
      <c r="B89" s="5" t="s">
        <v>308</v>
      </c>
      <c r="C89" s="5" t="s">
        <v>298</v>
      </c>
      <c r="D89" s="5"/>
      <c r="E89" s="5"/>
      <c r="F89" s="5" t="s">
        <v>125</v>
      </c>
      <c r="G89" s="5" t="s">
        <v>309</v>
      </c>
      <c r="H89" s="4">
        <v>25</v>
      </c>
      <c r="I89" s="4">
        <v>8</v>
      </c>
      <c r="J89" s="4">
        <v>1994</v>
      </c>
      <c r="K89" s="5" t="s">
        <v>310</v>
      </c>
      <c r="L89" s="6" t="s">
        <v>25</v>
      </c>
      <c r="M89" s="13">
        <v>0</v>
      </c>
      <c r="N89" s="13">
        <v>0</v>
      </c>
      <c r="O89" s="13">
        <v>21</v>
      </c>
      <c r="Q89" s="7">
        <f t="shared" si="0"/>
        <v>0</v>
      </c>
      <c r="R89" s="7">
        <f t="shared" si="1"/>
        <v>0</v>
      </c>
      <c r="S89" s="7">
        <f t="shared" si="2"/>
        <v>1</v>
      </c>
    </row>
    <row r="90" spans="1:19" ht="16" x14ac:dyDescent="0.2">
      <c r="A90" s="4">
        <v>158514</v>
      </c>
      <c r="B90" s="5" t="s">
        <v>311</v>
      </c>
      <c r="C90" s="5" t="s">
        <v>298</v>
      </c>
      <c r="D90" s="5"/>
      <c r="E90" s="5"/>
      <c r="F90" s="5" t="s">
        <v>312</v>
      </c>
      <c r="G90" s="5" t="s">
        <v>313</v>
      </c>
      <c r="H90" s="4">
        <v>30</v>
      </c>
      <c r="I90" s="4">
        <v>6</v>
      </c>
      <c r="J90" s="4">
        <v>2003</v>
      </c>
      <c r="K90" s="5" t="s">
        <v>314</v>
      </c>
      <c r="L90" s="6" t="s">
        <v>25</v>
      </c>
      <c r="M90" s="13">
        <v>117</v>
      </c>
      <c r="N90" s="13">
        <v>68</v>
      </c>
      <c r="O90" s="13">
        <v>0</v>
      </c>
      <c r="Q90" s="7">
        <f t="shared" si="0"/>
        <v>0.63243243243243241</v>
      </c>
      <c r="R90" s="7">
        <f t="shared" si="1"/>
        <v>0.36756756756756759</v>
      </c>
      <c r="S90" s="7">
        <f t="shared" si="2"/>
        <v>0</v>
      </c>
    </row>
    <row r="91" spans="1:19" ht="16" x14ac:dyDescent="0.2">
      <c r="A91" s="4">
        <v>188449</v>
      </c>
      <c r="B91" s="5" t="s">
        <v>315</v>
      </c>
      <c r="C91" s="5" t="s">
        <v>298</v>
      </c>
      <c r="D91" s="5"/>
      <c r="E91" s="5"/>
      <c r="F91" s="5" t="s">
        <v>47</v>
      </c>
      <c r="G91" s="5" t="s">
        <v>316</v>
      </c>
      <c r="H91" s="4">
        <v>2</v>
      </c>
      <c r="I91" s="4">
        <v>7</v>
      </c>
      <c r="J91" s="4">
        <v>2018</v>
      </c>
      <c r="K91" s="5" t="s">
        <v>317</v>
      </c>
      <c r="L91" s="6" t="s">
        <v>25</v>
      </c>
      <c r="M91" s="13">
        <v>0</v>
      </c>
      <c r="N91" s="13">
        <v>0</v>
      </c>
      <c r="O91" s="13">
        <v>28</v>
      </c>
      <c r="Q91" s="7">
        <f t="shared" si="0"/>
        <v>0</v>
      </c>
      <c r="R91" s="7">
        <f t="shared" si="1"/>
        <v>0</v>
      </c>
      <c r="S91" s="7">
        <f t="shared" si="2"/>
        <v>1</v>
      </c>
    </row>
    <row r="92" spans="1:19" ht="16" x14ac:dyDescent="0.2">
      <c r="A92" s="4">
        <v>190040</v>
      </c>
      <c r="B92" s="5" t="s">
        <v>318</v>
      </c>
      <c r="C92" s="5" t="s">
        <v>298</v>
      </c>
      <c r="D92" s="5"/>
      <c r="E92" s="5"/>
      <c r="F92" s="5" t="s">
        <v>47</v>
      </c>
      <c r="G92" s="5" t="s">
        <v>319</v>
      </c>
      <c r="H92" s="4">
        <v>30</v>
      </c>
      <c r="I92" s="4">
        <v>9</v>
      </c>
      <c r="J92" s="4">
        <v>2020</v>
      </c>
      <c r="K92" s="5" t="s">
        <v>320</v>
      </c>
      <c r="L92" s="6" t="s">
        <v>25</v>
      </c>
      <c r="M92" s="13">
        <v>0</v>
      </c>
      <c r="N92" s="13">
        <v>0</v>
      </c>
      <c r="O92" s="13">
        <v>0</v>
      </c>
      <c r="Q92" s="7" t="e">
        <f t="shared" si="0"/>
        <v>#DIV/0!</v>
      </c>
      <c r="R92" s="7" t="e">
        <f t="shared" si="1"/>
        <v>#DIV/0!</v>
      </c>
      <c r="S92" s="7" t="e">
        <f t="shared" si="2"/>
        <v>#DIV/0!</v>
      </c>
    </row>
    <row r="93" spans="1:19" ht="16" x14ac:dyDescent="0.2">
      <c r="A93" s="4">
        <v>187831</v>
      </c>
      <c r="B93" s="5" t="s">
        <v>321</v>
      </c>
      <c r="C93" s="5" t="s">
        <v>322</v>
      </c>
      <c r="D93" s="5"/>
      <c r="E93" s="5"/>
      <c r="F93" s="5" t="s">
        <v>47</v>
      </c>
      <c r="G93" s="5" t="s">
        <v>323</v>
      </c>
      <c r="H93" s="4">
        <v>13</v>
      </c>
      <c r="I93" s="4">
        <v>9</v>
      </c>
      <c r="J93" s="4">
        <v>2018</v>
      </c>
      <c r="K93" s="5" t="s">
        <v>296</v>
      </c>
      <c r="L93" s="6" t="s">
        <v>25</v>
      </c>
      <c r="M93" s="13">
        <v>0</v>
      </c>
      <c r="N93" s="13">
        <v>0</v>
      </c>
      <c r="O93" s="13">
        <v>0</v>
      </c>
      <c r="Q93" s="7" t="e">
        <f t="shared" si="0"/>
        <v>#DIV/0!</v>
      </c>
      <c r="R93" s="7" t="e">
        <f t="shared" si="1"/>
        <v>#DIV/0!</v>
      </c>
      <c r="S93" s="7" t="e">
        <f t="shared" si="2"/>
        <v>#DIV/0!</v>
      </c>
    </row>
    <row r="94" spans="1:19" ht="16" x14ac:dyDescent="0.2">
      <c r="A94" s="4">
        <v>190042</v>
      </c>
      <c r="B94" s="5" t="s">
        <v>324</v>
      </c>
      <c r="C94" s="5" t="s">
        <v>325</v>
      </c>
      <c r="D94" s="5"/>
      <c r="E94" s="5"/>
      <c r="F94" s="5" t="s">
        <v>47</v>
      </c>
      <c r="G94" s="5" t="s">
        <v>326</v>
      </c>
      <c r="H94" s="4">
        <v>30</v>
      </c>
      <c r="I94" s="4">
        <v>9</v>
      </c>
      <c r="J94" s="4">
        <v>2020</v>
      </c>
      <c r="K94" s="5" t="s">
        <v>327</v>
      </c>
      <c r="L94" s="6" t="s">
        <v>25</v>
      </c>
      <c r="M94" s="13">
        <v>0</v>
      </c>
      <c r="N94" s="13">
        <v>0</v>
      </c>
      <c r="O94" s="13">
        <v>0</v>
      </c>
      <c r="Q94" s="7" t="e">
        <f t="shared" si="0"/>
        <v>#DIV/0!</v>
      </c>
      <c r="R94" s="7" t="e">
        <f t="shared" si="1"/>
        <v>#DIV/0!</v>
      </c>
      <c r="S94" s="7" t="e">
        <f t="shared" si="2"/>
        <v>#DIV/0!</v>
      </c>
    </row>
    <row r="95" spans="1:19" ht="16" x14ac:dyDescent="0.2">
      <c r="A95" s="4">
        <v>193013</v>
      </c>
      <c r="B95" s="5" t="s">
        <v>328</v>
      </c>
      <c r="C95" s="5" t="s">
        <v>325</v>
      </c>
      <c r="D95" s="5"/>
      <c r="E95" s="5"/>
      <c r="F95" s="5" t="s">
        <v>113</v>
      </c>
      <c r="G95" s="5" t="s">
        <v>329</v>
      </c>
      <c r="H95" s="4">
        <v>22</v>
      </c>
      <c r="I95" s="4">
        <v>8</v>
      </c>
      <c r="J95" s="4">
        <v>2024</v>
      </c>
      <c r="K95" s="5" t="s">
        <v>327</v>
      </c>
      <c r="L95" s="6" t="s">
        <v>25</v>
      </c>
      <c r="M95" s="13">
        <v>0</v>
      </c>
      <c r="N95" s="13">
        <v>0</v>
      </c>
      <c r="O95" s="13">
        <v>6</v>
      </c>
      <c r="Q95" s="7">
        <f t="shared" si="0"/>
        <v>0</v>
      </c>
      <c r="R95" s="7">
        <f t="shared" si="1"/>
        <v>0</v>
      </c>
      <c r="S95" s="7">
        <f t="shared" si="2"/>
        <v>1</v>
      </c>
    </row>
    <row r="96" spans="1:19" ht="16" x14ac:dyDescent="0.2">
      <c r="A96" s="4">
        <v>120627</v>
      </c>
      <c r="B96" s="5" t="s">
        <v>330</v>
      </c>
      <c r="C96" s="5" t="s">
        <v>331</v>
      </c>
      <c r="D96" s="5"/>
      <c r="E96" s="5"/>
      <c r="F96" s="5" t="s">
        <v>129</v>
      </c>
      <c r="G96" s="5" t="s">
        <v>332</v>
      </c>
      <c r="H96" s="4">
        <v>16</v>
      </c>
      <c r="I96" s="4">
        <v>8</v>
      </c>
      <c r="J96" s="4">
        <v>1994</v>
      </c>
      <c r="K96" s="5" t="s">
        <v>333</v>
      </c>
      <c r="L96" s="6" t="s">
        <v>25</v>
      </c>
      <c r="M96" s="13">
        <v>0</v>
      </c>
      <c r="N96" s="13">
        <v>0</v>
      </c>
      <c r="O96" s="13">
        <v>4</v>
      </c>
      <c r="Q96" s="7">
        <f t="shared" si="0"/>
        <v>0</v>
      </c>
      <c r="R96" s="7">
        <f t="shared" si="1"/>
        <v>0</v>
      </c>
      <c r="S96" s="7">
        <f t="shared" si="2"/>
        <v>1</v>
      </c>
    </row>
    <row r="97" spans="1:19" ht="16" x14ac:dyDescent="0.2">
      <c r="A97" s="4">
        <v>158959</v>
      </c>
      <c r="B97" s="5" t="s">
        <v>334</v>
      </c>
      <c r="C97" s="5" t="s">
        <v>331</v>
      </c>
      <c r="D97" s="5"/>
      <c r="E97" s="5"/>
      <c r="F97" s="5" t="s">
        <v>31</v>
      </c>
      <c r="G97" s="5" t="s">
        <v>335</v>
      </c>
      <c r="H97" s="4">
        <v>30</v>
      </c>
      <c r="I97" s="4">
        <v>6</v>
      </c>
      <c r="J97" s="4">
        <v>2003</v>
      </c>
      <c r="K97" s="5" t="s">
        <v>336</v>
      </c>
      <c r="L97" s="6" t="s">
        <v>25</v>
      </c>
      <c r="M97" s="13">
        <v>41</v>
      </c>
      <c r="N97" s="13">
        <v>101</v>
      </c>
      <c r="O97" s="13">
        <v>2</v>
      </c>
      <c r="Q97" s="7">
        <f t="shared" si="0"/>
        <v>0.28472222222222221</v>
      </c>
      <c r="R97" s="7">
        <f t="shared" si="1"/>
        <v>0.70138888888888884</v>
      </c>
      <c r="S97" s="7">
        <f t="shared" si="2"/>
        <v>1.3888888888888888E-2</v>
      </c>
    </row>
    <row r="98" spans="1:19" ht="16" x14ac:dyDescent="0.2">
      <c r="A98" s="4">
        <v>179435</v>
      </c>
      <c r="B98" s="5" t="s">
        <v>337</v>
      </c>
      <c r="C98" s="5" t="s">
        <v>331</v>
      </c>
      <c r="D98" s="5"/>
      <c r="E98" s="5"/>
      <c r="F98" s="5" t="s">
        <v>277</v>
      </c>
      <c r="G98" s="5" t="s">
        <v>338</v>
      </c>
      <c r="H98" s="4">
        <v>24</v>
      </c>
      <c r="I98" s="4">
        <v>7</v>
      </c>
      <c r="J98" s="4">
        <v>2014</v>
      </c>
      <c r="K98" s="5" t="s">
        <v>339</v>
      </c>
      <c r="L98" s="6" t="s">
        <v>25</v>
      </c>
      <c r="M98" s="13">
        <v>0</v>
      </c>
      <c r="N98" s="13">
        <v>0</v>
      </c>
      <c r="O98" s="13">
        <v>18</v>
      </c>
      <c r="Q98" s="7">
        <f t="shared" si="0"/>
        <v>0</v>
      </c>
      <c r="R98" s="7">
        <f t="shared" si="1"/>
        <v>0</v>
      </c>
      <c r="S98" s="7">
        <f t="shared" si="2"/>
        <v>1</v>
      </c>
    </row>
    <row r="99" spans="1:19" ht="16" x14ac:dyDescent="0.2">
      <c r="A99" s="4">
        <v>190637</v>
      </c>
      <c r="B99" s="5" t="s">
        <v>340</v>
      </c>
      <c r="C99" s="5" t="s">
        <v>331</v>
      </c>
      <c r="D99" s="5"/>
      <c r="E99" s="5"/>
      <c r="F99" s="5" t="s">
        <v>47</v>
      </c>
      <c r="G99" s="5" t="s">
        <v>341</v>
      </c>
      <c r="H99" s="4">
        <v>23</v>
      </c>
      <c r="I99" s="4">
        <v>9</v>
      </c>
      <c r="J99" s="4">
        <v>2020</v>
      </c>
      <c r="K99" s="5" t="s">
        <v>342</v>
      </c>
      <c r="L99" s="6" t="s">
        <v>25</v>
      </c>
      <c r="M99" s="13">
        <v>0</v>
      </c>
      <c r="N99" s="13">
        <v>0</v>
      </c>
      <c r="O99" s="13">
        <v>0</v>
      </c>
      <c r="Q99" s="7" t="e">
        <f t="shared" si="0"/>
        <v>#DIV/0!</v>
      </c>
      <c r="R99" s="7" t="e">
        <f t="shared" si="1"/>
        <v>#DIV/0!</v>
      </c>
      <c r="S99" s="7" t="e">
        <f t="shared" si="2"/>
        <v>#DIV/0!</v>
      </c>
    </row>
    <row r="100" spans="1:19" ht="16" x14ac:dyDescent="0.2">
      <c r="A100" s="4">
        <v>189742</v>
      </c>
      <c r="B100" s="5" t="s">
        <v>343</v>
      </c>
      <c r="C100" s="5" t="s">
        <v>344</v>
      </c>
      <c r="D100" s="5"/>
      <c r="E100" s="5"/>
      <c r="F100" s="5" t="s">
        <v>47</v>
      </c>
      <c r="G100" s="5" t="s">
        <v>345</v>
      </c>
      <c r="H100" s="4">
        <v>26</v>
      </c>
      <c r="I100" s="4">
        <v>8</v>
      </c>
      <c r="J100" s="4">
        <v>2020</v>
      </c>
      <c r="K100" s="5" t="s">
        <v>346</v>
      </c>
      <c r="L100" s="6" t="s">
        <v>25</v>
      </c>
      <c r="M100" s="13">
        <v>0</v>
      </c>
      <c r="N100" s="13">
        <v>0</v>
      </c>
      <c r="O100" s="13">
        <v>0</v>
      </c>
      <c r="Q100" s="7" t="e">
        <f t="shared" si="0"/>
        <v>#DIV/0!</v>
      </c>
      <c r="R100" s="7" t="e">
        <f t="shared" si="1"/>
        <v>#DIV/0!</v>
      </c>
      <c r="S100" s="7" t="e">
        <f t="shared" si="2"/>
        <v>#DIV/0!</v>
      </c>
    </row>
    <row r="101" spans="1:19" ht="16" x14ac:dyDescent="0.2">
      <c r="A101" s="4">
        <v>142755</v>
      </c>
      <c r="B101" s="5" t="s">
        <v>347</v>
      </c>
      <c r="C101" s="5" t="s">
        <v>348</v>
      </c>
      <c r="D101" s="5"/>
      <c r="E101" s="5"/>
      <c r="F101" s="5" t="s">
        <v>250</v>
      </c>
      <c r="G101" s="5" t="s">
        <v>349</v>
      </c>
      <c r="H101" s="4">
        <v>28</v>
      </c>
      <c r="I101" s="4">
        <v>6</v>
      </c>
      <c r="J101" s="4">
        <v>1998</v>
      </c>
      <c r="K101" s="5" t="s">
        <v>350</v>
      </c>
      <c r="L101" s="6" t="s">
        <v>25</v>
      </c>
      <c r="M101" s="13">
        <v>0</v>
      </c>
      <c r="N101" s="13">
        <v>7</v>
      </c>
      <c r="O101" s="13">
        <v>59</v>
      </c>
      <c r="Q101" s="7">
        <f t="shared" si="0"/>
        <v>0</v>
      </c>
      <c r="R101" s="7">
        <f t="shared" si="1"/>
        <v>0.10606060606060606</v>
      </c>
      <c r="S101" s="7">
        <f t="shared" si="2"/>
        <v>0.89393939393939392</v>
      </c>
    </row>
    <row r="102" spans="1:19" ht="16" x14ac:dyDescent="0.2">
      <c r="A102" s="4">
        <v>28021</v>
      </c>
      <c r="B102" s="5" t="s">
        <v>351</v>
      </c>
      <c r="C102" s="5" t="s">
        <v>352</v>
      </c>
      <c r="D102" s="5"/>
      <c r="E102" s="5"/>
      <c r="F102" s="5" t="s">
        <v>353</v>
      </c>
      <c r="G102" s="5" t="s">
        <v>167</v>
      </c>
      <c r="H102" s="4">
        <v>16</v>
      </c>
      <c r="I102" s="4">
        <v>7</v>
      </c>
      <c r="J102" s="4">
        <v>1924</v>
      </c>
      <c r="K102" s="5"/>
      <c r="L102" s="6" t="s">
        <v>25</v>
      </c>
      <c r="M102" s="13">
        <v>35</v>
      </c>
      <c r="N102" s="13">
        <v>60</v>
      </c>
      <c r="O102" s="13">
        <v>0</v>
      </c>
      <c r="Q102" s="7">
        <f t="shared" si="0"/>
        <v>0.36842105263157893</v>
      </c>
      <c r="R102" s="7">
        <f t="shared" si="1"/>
        <v>0.63157894736842102</v>
      </c>
      <c r="S102" s="7">
        <f t="shared" si="2"/>
        <v>0</v>
      </c>
    </row>
    <row r="103" spans="1:19" ht="16" x14ac:dyDescent="0.2">
      <c r="A103" s="4">
        <v>28025</v>
      </c>
      <c r="B103" s="5" t="s">
        <v>354</v>
      </c>
      <c r="C103" s="5" t="s">
        <v>352</v>
      </c>
      <c r="D103" s="5"/>
      <c r="E103" s="5"/>
      <c r="F103" s="5" t="s">
        <v>170</v>
      </c>
      <c r="G103" s="4">
        <v>433</v>
      </c>
      <c r="H103" s="4">
        <v>2</v>
      </c>
      <c r="I103" s="4">
        <v>7</v>
      </c>
      <c r="J103" s="4">
        <v>1970</v>
      </c>
      <c r="K103" s="5" t="s">
        <v>355</v>
      </c>
      <c r="L103" s="6" t="s">
        <v>25</v>
      </c>
      <c r="M103" s="13">
        <v>0</v>
      </c>
      <c r="N103" s="13">
        <v>0</v>
      </c>
      <c r="O103" s="13">
        <v>31</v>
      </c>
      <c r="Q103" s="7">
        <f t="shared" si="0"/>
        <v>0</v>
      </c>
      <c r="R103" s="7">
        <f t="shared" si="1"/>
        <v>0</v>
      </c>
      <c r="S103" s="7">
        <f t="shared" si="2"/>
        <v>1</v>
      </c>
    </row>
    <row r="104" spans="1:19" ht="16" x14ac:dyDescent="0.2">
      <c r="A104" s="4">
        <v>28026</v>
      </c>
      <c r="B104" s="5" t="s">
        <v>356</v>
      </c>
      <c r="C104" s="5" t="s">
        <v>352</v>
      </c>
      <c r="D104" s="5"/>
      <c r="E104" s="5"/>
      <c r="F104" s="5" t="s">
        <v>170</v>
      </c>
      <c r="G104" s="4">
        <v>432</v>
      </c>
      <c r="H104" s="4">
        <v>2</v>
      </c>
      <c r="I104" s="4">
        <v>7</v>
      </c>
      <c r="J104" s="4">
        <v>1970</v>
      </c>
      <c r="K104" s="5" t="s">
        <v>357</v>
      </c>
      <c r="L104" s="6" t="s">
        <v>25</v>
      </c>
      <c r="M104" s="13">
        <v>0</v>
      </c>
      <c r="N104" s="13">
        <v>7</v>
      </c>
      <c r="O104" s="13">
        <v>20</v>
      </c>
      <c r="Q104" s="7">
        <f t="shared" si="0"/>
        <v>0</v>
      </c>
      <c r="R104" s="7">
        <f t="shared" si="1"/>
        <v>0.25925925925925924</v>
      </c>
      <c r="S104" s="7">
        <f t="shared" si="2"/>
        <v>0.7407407407407407</v>
      </c>
    </row>
    <row r="105" spans="1:19" ht="16" x14ac:dyDescent="0.2">
      <c r="A105" s="4">
        <v>32416</v>
      </c>
      <c r="B105" s="5" t="s">
        <v>358</v>
      </c>
      <c r="C105" s="5" t="s">
        <v>352</v>
      </c>
      <c r="D105" s="5"/>
      <c r="E105" s="5"/>
      <c r="F105" s="5" t="s">
        <v>119</v>
      </c>
      <c r="G105" s="4">
        <v>4397</v>
      </c>
      <c r="H105" s="4">
        <v>8</v>
      </c>
      <c r="I105" s="4">
        <v>7</v>
      </c>
      <c r="J105" s="4">
        <v>1978</v>
      </c>
      <c r="K105" s="5" t="s">
        <v>359</v>
      </c>
      <c r="L105" s="6" t="s">
        <v>25</v>
      </c>
      <c r="M105" s="13">
        <v>2</v>
      </c>
      <c r="N105" s="13">
        <v>162</v>
      </c>
      <c r="O105" s="13">
        <v>14</v>
      </c>
      <c r="Q105" s="7">
        <f t="shared" si="0"/>
        <v>1.1235955056179775E-2</v>
      </c>
      <c r="R105" s="7">
        <f t="shared" si="1"/>
        <v>0.9101123595505618</v>
      </c>
      <c r="S105" s="7">
        <f t="shared" si="2"/>
        <v>7.8651685393258425E-2</v>
      </c>
    </row>
    <row r="106" spans="1:19" ht="16" x14ac:dyDescent="0.2">
      <c r="A106" s="4">
        <v>36814</v>
      </c>
      <c r="B106" s="5" t="s">
        <v>360</v>
      </c>
      <c r="C106" s="5" t="s">
        <v>352</v>
      </c>
      <c r="D106" s="5"/>
      <c r="E106" s="5"/>
      <c r="F106" s="5" t="s">
        <v>180</v>
      </c>
      <c r="G106" s="4">
        <v>7911</v>
      </c>
      <c r="H106" s="4">
        <v>6</v>
      </c>
      <c r="I106" s="4">
        <v>7</v>
      </c>
      <c r="J106" s="4">
        <v>1979</v>
      </c>
      <c r="K106" s="5" t="s">
        <v>361</v>
      </c>
      <c r="L106" s="6" t="s">
        <v>25</v>
      </c>
      <c r="M106" s="13">
        <v>0</v>
      </c>
      <c r="N106" s="13">
        <v>0</v>
      </c>
      <c r="O106" s="13">
        <v>4</v>
      </c>
      <c r="Q106" s="7">
        <f t="shared" si="0"/>
        <v>0</v>
      </c>
      <c r="R106" s="7">
        <f t="shared" si="1"/>
        <v>0</v>
      </c>
      <c r="S106" s="7">
        <f t="shared" si="2"/>
        <v>1</v>
      </c>
    </row>
    <row r="107" spans="1:19" ht="16" x14ac:dyDescent="0.2">
      <c r="A107" s="4">
        <v>36815</v>
      </c>
      <c r="B107" s="5" t="s">
        <v>362</v>
      </c>
      <c r="C107" s="5" t="s">
        <v>352</v>
      </c>
      <c r="D107" s="5"/>
      <c r="E107" s="5"/>
      <c r="F107" s="5" t="s">
        <v>180</v>
      </c>
      <c r="G107" s="4">
        <v>7916</v>
      </c>
      <c r="H107" s="4">
        <v>6</v>
      </c>
      <c r="I107" s="4">
        <v>7</v>
      </c>
      <c r="J107" s="4">
        <v>1979</v>
      </c>
      <c r="K107" s="5" t="s">
        <v>363</v>
      </c>
      <c r="L107" s="6" t="s">
        <v>25</v>
      </c>
      <c r="M107" s="13">
        <v>0</v>
      </c>
      <c r="N107" s="13">
        <v>9</v>
      </c>
      <c r="O107" s="13">
        <v>9</v>
      </c>
      <c r="Q107" s="7">
        <f t="shared" si="0"/>
        <v>0</v>
      </c>
      <c r="R107" s="7">
        <f t="shared" si="1"/>
        <v>0.5</v>
      </c>
      <c r="S107" s="7">
        <f t="shared" si="2"/>
        <v>0.5</v>
      </c>
    </row>
    <row r="108" spans="1:19" ht="16" x14ac:dyDescent="0.2">
      <c r="A108" s="4">
        <v>36816</v>
      </c>
      <c r="B108" s="5" t="s">
        <v>364</v>
      </c>
      <c r="C108" s="5" t="s">
        <v>352</v>
      </c>
      <c r="D108" s="5"/>
      <c r="E108" s="5"/>
      <c r="F108" s="5" t="s">
        <v>180</v>
      </c>
      <c r="G108" s="4">
        <v>7912</v>
      </c>
      <c r="H108" s="4">
        <v>6</v>
      </c>
      <c r="I108" s="4">
        <v>7</v>
      </c>
      <c r="J108" s="4">
        <v>1979</v>
      </c>
      <c r="K108" s="5" t="s">
        <v>365</v>
      </c>
      <c r="L108" s="6" t="s">
        <v>25</v>
      </c>
      <c r="M108" s="13">
        <v>12</v>
      </c>
      <c r="N108" s="13">
        <v>0</v>
      </c>
      <c r="O108" s="13">
        <v>0</v>
      </c>
      <c r="Q108" s="7">
        <f t="shared" si="0"/>
        <v>1</v>
      </c>
      <c r="R108" s="7">
        <f t="shared" si="1"/>
        <v>0</v>
      </c>
      <c r="S108" s="7">
        <f t="shared" si="2"/>
        <v>0</v>
      </c>
    </row>
    <row r="109" spans="1:19" ht="16" x14ac:dyDescent="0.2">
      <c r="A109" s="4">
        <v>36818</v>
      </c>
      <c r="B109" s="5" t="s">
        <v>366</v>
      </c>
      <c r="C109" s="5" t="s">
        <v>352</v>
      </c>
      <c r="D109" s="5"/>
      <c r="E109" s="5"/>
      <c r="F109" s="5" t="s">
        <v>180</v>
      </c>
      <c r="G109" s="4">
        <v>7910</v>
      </c>
      <c r="H109" s="4">
        <v>6</v>
      </c>
      <c r="I109" s="4">
        <v>7</v>
      </c>
      <c r="J109" s="4">
        <v>1979</v>
      </c>
      <c r="K109" s="5" t="s">
        <v>367</v>
      </c>
      <c r="L109" s="6" t="s">
        <v>25</v>
      </c>
      <c r="M109" s="13">
        <v>0</v>
      </c>
      <c r="N109" s="13">
        <v>0</v>
      </c>
      <c r="O109" s="13">
        <v>57</v>
      </c>
      <c r="Q109" s="7">
        <f t="shared" si="0"/>
        <v>0</v>
      </c>
      <c r="R109" s="7">
        <f t="shared" si="1"/>
        <v>0</v>
      </c>
      <c r="S109" s="7">
        <f t="shared" si="2"/>
        <v>1</v>
      </c>
    </row>
    <row r="110" spans="1:19" ht="16" x14ac:dyDescent="0.2">
      <c r="A110" s="4">
        <v>36819</v>
      </c>
      <c r="B110" s="5" t="s">
        <v>368</v>
      </c>
      <c r="C110" s="5" t="s">
        <v>352</v>
      </c>
      <c r="D110" s="5"/>
      <c r="E110" s="5"/>
      <c r="F110" s="5" t="s">
        <v>119</v>
      </c>
      <c r="G110" s="4">
        <v>4754</v>
      </c>
      <c r="H110" s="4">
        <v>6</v>
      </c>
      <c r="I110" s="4">
        <v>7</v>
      </c>
      <c r="J110" s="4">
        <v>1979</v>
      </c>
      <c r="K110" s="5" t="s">
        <v>369</v>
      </c>
      <c r="L110" s="6" t="s">
        <v>25</v>
      </c>
      <c r="M110" s="13">
        <v>0</v>
      </c>
      <c r="N110" s="13">
        <v>0</v>
      </c>
      <c r="O110" s="13">
        <v>146</v>
      </c>
      <c r="Q110" s="7">
        <f t="shared" si="0"/>
        <v>0</v>
      </c>
      <c r="R110" s="7">
        <f t="shared" si="1"/>
        <v>0</v>
      </c>
      <c r="S110" s="7">
        <f t="shared" si="2"/>
        <v>1</v>
      </c>
    </row>
    <row r="111" spans="1:19" ht="16" x14ac:dyDescent="0.2">
      <c r="A111" s="4">
        <v>36820</v>
      </c>
      <c r="B111" s="5" t="s">
        <v>370</v>
      </c>
      <c r="C111" s="5" t="s">
        <v>352</v>
      </c>
      <c r="D111" s="5"/>
      <c r="E111" s="5"/>
      <c r="F111" s="5" t="s">
        <v>180</v>
      </c>
      <c r="G111" s="4">
        <v>7915</v>
      </c>
      <c r="H111" s="4">
        <v>6</v>
      </c>
      <c r="I111" s="4">
        <v>7</v>
      </c>
      <c r="J111" s="4">
        <v>1979</v>
      </c>
      <c r="K111" s="5" t="s">
        <v>371</v>
      </c>
      <c r="L111" s="6" t="s">
        <v>25</v>
      </c>
      <c r="M111" s="13">
        <v>9</v>
      </c>
      <c r="N111" s="13">
        <v>40</v>
      </c>
      <c r="O111" s="13">
        <v>0</v>
      </c>
      <c r="Q111" s="7">
        <f t="shared" si="0"/>
        <v>0.18367346938775511</v>
      </c>
      <c r="R111" s="7">
        <f t="shared" si="1"/>
        <v>0.81632653061224492</v>
      </c>
      <c r="S111" s="7">
        <f t="shared" si="2"/>
        <v>0</v>
      </c>
    </row>
    <row r="112" spans="1:19" ht="16" x14ac:dyDescent="0.2">
      <c r="A112" s="4">
        <v>36821</v>
      </c>
      <c r="B112" s="5" t="s">
        <v>372</v>
      </c>
      <c r="C112" s="5" t="s">
        <v>352</v>
      </c>
      <c r="D112" s="5"/>
      <c r="E112" s="5"/>
      <c r="F112" s="5" t="s">
        <v>180</v>
      </c>
      <c r="G112" s="4">
        <v>7914</v>
      </c>
      <c r="H112" s="4">
        <v>6</v>
      </c>
      <c r="I112" s="4">
        <v>7</v>
      </c>
      <c r="J112" s="4">
        <v>1979</v>
      </c>
      <c r="K112" s="5" t="s">
        <v>373</v>
      </c>
      <c r="L112" s="6" t="s">
        <v>25</v>
      </c>
      <c r="M112" s="13">
        <v>0</v>
      </c>
      <c r="N112" s="13">
        <v>1</v>
      </c>
      <c r="O112" s="13">
        <v>30</v>
      </c>
      <c r="Q112" s="7">
        <f t="shared" si="0"/>
        <v>0</v>
      </c>
      <c r="R112" s="7">
        <f t="shared" si="1"/>
        <v>3.2258064516129031E-2</v>
      </c>
      <c r="S112" s="7">
        <f t="shared" si="2"/>
        <v>0.967741935483871</v>
      </c>
    </row>
    <row r="113" spans="1:19" ht="16" x14ac:dyDescent="0.2">
      <c r="A113" s="4">
        <v>36822</v>
      </c>
      <c r="B113" s="5" t="s">
        <v>374</v>
      </c>
      <c r="C113" s="5" t="s">
        <v>352</v>
      </c>
      <c r="D113" s="5"/>
      <c r="E113" s="5"/>
      <c r="F113" s="5" t="s">
        <v>119</v>
      </c>
      <c r="G113" s="4">
        <v>4752</v>
      </c>
      <c r="H113" s="4">
        <v>6</v>
      </c>
      <c r="I113" s="4">
        <v>7</v>
      </c>
      <c r="J113" s="4">
        <v>1979</v>
      </c>
      <c r="K113" s="5" t="s">
        <v>375</v>
      </c>
      <c r="L113" s="6" t="s">
        <v>25</v>
      </c>
      <c r="M113" s="13">
        <v>0</v>
      </c>
      <c r="N113" s="13">
        <v>0</v>
      </c>
      <c r="O113" s="13">
        <v>77</v>
      </c>
      <c r="Q113" s="7">
        <f t="shared" si="0"/>
        <v>0</v>
      </c>
      <c r="R113" s="7">
        <f t="shared" si="1"/>
        <v>0</v>
      </c>
      <c r="S113" s="7">
        <f t="shared" si="2"/>
        <v>1</v>
      </c>
    </row>
    <row r="114" spans="1:19" ht="16" x14ac:dyDescent="0.2">
      <c r="A114" s="4">
        <v>65120</v>
      </c>
      <c r="B114" s="5" t="s">
        <v>376</v>
      </c>
      <c r="C114" s="5" t="s">
        <v>352</v>
      </c>
      <c r="D114" s="5"/>
      <c r="E114" s="5"/>
      <c r="F114" s="5" t="s">
        <v>22</v>
      </c>
      <c r="G114" s="5" t="s">
        <v>377</v>
      </c>
      <c r="H114" s="4">
        <v>21</v>
      </c>
      <c r="I114" s="4">
        <v>6</v>
      </c>
      <c r="J114" s="4">
        <v>1984</v>
      </c>
      <c r="K114" s="5" t="s">
        <v>378</v>
      </c>
      <c r="L114" s="6" t="s">
        <v>25</v>
      </c>
      <c r="M114" s="13">
        <v>165</v>
      </c>
      <c r="N114" s="13">
        <v>37</v>
      </c>
      <c r="O114" s="13">
        <v>0</v>
      </c>
      <c r="Q114" s="7">
        <f t="shared" si="0"/>
        <v>0.81683168316831678</v>
      </c>
      <c r="R114" s="7">
        <f t="shared" si="1"/>
        <v>0.18316831683168316</v>
      </c>
      <c r="S114" s="7">
        <f t="shared" si="2"/>
        <v>0</v>
      </c>
    </row>
    <row r="115" spans="1:19" ht="16" x14ac:dyDescent="0.2">
      <c r="A115" s="4">
        <v>66535</v>
      </c>
      <c r="B115" s="5" t="s">
        <v>379</v>
      </c>
      <c r="C115" s="5" t="s">
        <v>352</v>
      </c>
      <c r="D115" s="5"/>
      <c r="E115" s="5"/>
      <c r="F115" s="5" t="s">
        <v>22</v>
      </c>
      <c r="G115" s="5" t="s">
        <v>380</v>
      </c>
      <c r="H115" s="4">
        <v>23</v>
      </c>
      <c r="I115" s="4">
        <v>6</v>
      </c>
      <c r="J115" s="4">
        <v>1986</v>
      </c>
      <c r="K115" s="5" t="s">
        <v>381</v>
      </c>
      <c r="L115" s="6" t="s">
        <v>25</v>
      </c>
      <c r="M115" s="13">
        <v>0</v>
      </c>
      <c r="N115" s="13">
        <v>44</v>
      </c>
      <c r="O115" s="13">
        <v>10</v>
      </c>
      <c r="Q115" s="7">
        <f t="shared" si="0"/>
        <v>0</v>
      </c>
      <c r="R115" s="7">
        <f t="shared" si="1"/>
        <v>0.81481481481481477</v>
      </c>
      <c r="S115" s="7">
        <f t="shared" si="2"/>
        <v>0.18518518518518517</v>
      </c>
    </row>
    <row r="116" spans="1:19" ht="16" x14ac:dyDescent="0.2">
      <c r="A116" s="4">
        <v>66537</v>
      </c>
      <c r="B116" s="5" t="s">
        <v>382</v>
      </c>
      <c r="C116" s="5" t="s">
        <v>352</v>
      </c>
      <c r="D116" s="5"/>
      <c r="E116" s="5"/>
      <c r="F116" s="5" t="s">
        <v>22</v>
      </c>
      <c r="G116" s="5" t="s">
        <v>383</v>
      </c>
      <c r="H116" s="4">
        <v>23</v>
      </c>
      <c r="I116" s="4">
        <v>6</v>
      </c>
      <c r="J116" s="4">
        <v>1986</v>
      </c>
      <c r="K116" s="5" t="s">
        <v>384</v>
      </c>
      <c r="L116" s="6" t="s">
        <v>25</v>
      </c>
      <c r="M116" s="13">
        <v>8</v>
      </c>
      <c r="N116" s="13">
        <v>41</v>
      </c>
      <c r="O116" s="13">
        <v>2</v>
      </c>
      <c r="Q116" s="7">
        <f t="shared" si="0"/>
        <v>0.15686274509803921</v>
      </c>
      <c r="R116" s="7">
        <f t="shared" si="1"/>
        <v>0.80392156862745101</v>
      </c>
      <c r="S116" s="7">
        <f t="shared" si="2"/>
        <v>3.9215686274509803E-2</v>
      </c>
    </row>
    <row r="117" spans="1:19" ht="16" x14ac:dyDescent="0.2">
      <c r="A117" s="4">
        <v>66539</v>
      </c>
      <c r="B117" s="5" t="s">
        <v>385</v>
      </c>
      <c r="C117" s="5" t="s">
        <v>352</v>
      </c>
      <c r="D117" s="5"/>
      <c r="E117" s="5"/>
      <c r="F117" s="5" t="s">
        <v>22</v>
      </c>
      <c r="G117" s="5" t="s">
        <v>386</v>
      </c>
      <c r="H117" s="4">
        <v>23</v>
      </c>
      <c r="I117" s="4">
        <v>6</v>
      </c>
      <c r="J117" s="4">
        <v>1986</v>
      </c>
      <c r="K117" s="5" t="s">
        <v>387</v>
      </c>
      <c r="L117" s="6" t="s">
        <v>25</v>
      </c>
      <c r="M117" s="13">
        <v>114</v>
      </c>
      <c r="N117" s="13">
        <v>86</v>
      </c>
      <c r="O117" s="13">
        <v>0</v>
      </c>
      <c r="Q117" s="7">
        <f t="shared" si="0"/>
        <v>0.56999999999999995</v>
      </c>
      <c r="R117" s="7">
        <f t="shared" si="1"/>
        <v>0.43</v>
      </c>
      <c r="S117" s="7">
        <f t="shared" si="2"/>
        <v>0</v>
      </c>
    </row>
    <row r="118" spans="1:19" ht="16" x14ac:dyDescent="0.2">
      <c r="A118" s="4">
        <v>73909</v>
      </c>
      <c r="B118" s="5" t="s">
        <v>388</v>
      </c>
      <c r="C118" s="5" t="s">
        <v>352</v>
      </c>
      <c r="D118" s="5"/>
      <c r="E118" s="5"/>
      <c r="F118" s="5" t="s">
        <v>22</v>
      </c>
      <c r="G118" s="5" t="s">
        <v>389</v>
      </c>
      <c r="H118" s="4">
        <v>25</v>
      </c>
      <c r="I118" s="4">
        <v>7</v>
      </c>
      <c r="J118" s="4">
        <v>1987</v>
      </c>
      <c r="K118" s="5" t="s">
        <v>390</v>
      </c>
      <c r="L118" s="6" t="s">
        <v>25</v>
      </c>
      <c r="M118" s="13">
        <v>0</v>
      </c>
      <c r="N118" s="13">
        <v>0</v>
      </c>
      <c r="O118" s="13">
        <v>5</v>
      </c>
      <c r="Q118" s="7">
        <f t="shared" si="0"/>
        <v>0</v>
      </c>
      <c r="R118" s="7">
        <f t="shared" si="1"/>
        <v>0</v>
      </c>
      <c r="S118" s="7">
        <f t="shared" si="2"/>
        <v>1</v>
      </c>
    </row>
    <row r="119" spans="1:19" ht="16" x14ac:dyDescent="0.2">
      <c r="A119" s="4">
        <v>74104</v>
      </c>
      <c r="B119" s="5" t="s">
        <v>391</v>
      </c>
      <c r="C119" s="5" t="s">
        <v>352</v>
      </c>
      <c r="D119" s="5"/>
      <c r="E119" s="5"/>
      <c r="F119" s="5" t="s">
        <v>22</v>
      </c>
      <c r="G119" s="5" t="s">
        <v>392</v>
      </c>
      <c r="H119" s="4">
        <v>8</v>
      </c>
      <c r="I119" s="4">
        <v>7</v>
      </c>
      <c r="J119" s="4">
        <v>1987</v>
      </c>
      <c r="K119" s="5" t="s">
        <v>393</v>
      </c>
      <c r="L119" s="6" t="s">
        <v>25</v>
      </c>
      <c r="M119" s="13">
        <v>0</v>
      </c>
      <c r="N119" s="13">
        <v>0</v>
      </c>
      <c r="O119" s="13">
        <v>45</v>
      </c>
      <c r="Q119" s="7">
        <f t="shared" si="0"/>
        <v>0</v>
      </c>
      <c r="R119" s="7">
        <f t="shared" si="1"/>
        <v>0</v>
      </c>
      <c r="S119" s="7">
        <f t="shared" si="2"/>
        <v>1</v>
      </c>
    </row>
    <row r="120" spans="1:19" ht="16" x14ac:dyDescent="0.2">
      <c r="A120" s="4">
        <v>79967</v>
      </c>
      <c r="B120" s="5" t="s">
        <v>394</v>
      </c>
      <c r="C120" s="5" t="s">
        <v>352</v>
      </c>
      <c r="D120" s="5"/>
      <c r="E120" s="5"/>
      <c r="F120" s="5" t="s">
        <v>22</v>
      </c>
      <c r="G120" s="5" t="s">
        <v>395</v>
      </c>
      <c r="H120" s="4">
        <v>22</v>
      </c>
      <c r="I120" s="4">
        <v>6</v>
      </c>
      <c r="J120" s="4">
        <v>1988</v>
      </c>
      <c r="K120" s="5" t="s">
        <v>393</v>
      </c>
      <c r="L120" s="6" t="s">
        <v>25</v>
      </c>
      <c r="M120" s="13">
        <v>7</v>
      </c>
      <c r="N120" s="13">
        <v>2</v>
      </c>
      <c r="O120" s="13">
        <v>0</v>
      </c>
      <c r="Q120" s="7">
        <f t="shared" si="0"/>
        <v>0.77777777777777779</v>
      </c>
      <c r="R120" s="7">
        <f t="shared" si="1"/>
        <v>0.22222222222222221</v>
      </c>
      <c r="S120" s="7">
        <f t="shared" si="2"/>
        <v>0</v>
      </c>
    </row>
    <row r="121" spans="1:19" ht="16" x14ac:dyDescent="0.2">
      <c r="A121" s="4">
        <v>80695</v>
      </c>
      <c r="B121" s="5" t="s">
        <v>396</v>
      </c>
      <c r="C121" s="5" t="s">
        <v>352</v>
      </c>
      <c r="D121" s="5"/>
      <c r="E121" s="5"/>
      <c r="F121" s="5" t="s">
        <v>119</v>
      </c>
      <c r="G121" s="5" t="s">
        <v>397</v>
      </c>
      <c r="H121" s="4">
        <v>26</v>
      </c>
      <c r="I121" s="4">
        <v>7</v>
      </c>
      <c r="J121" s="4">
        <v>1988</v>
      </c>
      <c r="K121" s="5" t="s">
        <v>398</v>
      </c>
      <c r="L121" s="6" t="s">
        <v>25</v>
      </c>
      <c r="M121" s="13">
        <v>0</v>
      </c>
      <c r="N121" s="13">
        <v>0</v>
      </c>
      <c r="O121" s="13">
        <v>14</v>
      </c>
      <c r="Q121" s="7">
        <f t="shared" si="0"/>
        <v>0</v>
      </c>
      <c r="R121" s="7">
        <f t="shared" si="1"/>
        <v>0</v>
      </c>
      <c r="S121" s="7">
        <f t="shared" si="2"/>
        <v>1</v>
      </c>
    </row>
    <row r="122" spans="1:19" ht="16" x14ac:dyDescent="0.2">
      <c r="A122" s="4">
        <v>89771</v>
      </c>
      <c r="B122" s="5" t="s">
        <v>399</v>
      </c>
      <c r="C122" s="5" t="s">
        <v>352</v>
      </c>
      <c r="D122" s="5"/>
      <c r="E122" s="5"/>
      <c r="F122" s="5" t="s">
        <v>31</v>
      </c>
      <c r="G122" s="5" t="s">
        <v>400</v>
      </c>
      <c r="H122" s="4">
        <v>25</v>
      </c>
      <c r="I122" s="4">
        <v>7</v>
      </c>
      <c r="J122" s="4">
        <v>1989</v>
      </c>
      <c r="K122" s="5" t="s">
        <v>401</v>
      </c>
      <c r="L122" s="6" t="s">
        <v>25</v>
      </c>
      <c r="M122" s="13">
        <v>0</v>
      </c>
      <c r="N122" s="13">
        <v>0</v>
      </c>
      <c r="O122" s="13">
        <v>53</v>
      </c>
      <c r="Q122" s="7">
        <f t="shared" si="0"/>
        <v>0</v>
      </c>
      <c r="R122" s="7">
        <f t="shared" si="1"/>
        <v>0</v>
      </c>
      <c r="S122" s="7">
        <f t="shared" si="2"/>
        <v>1</v>
      </c>
    </row>
    <row r="123" spans="1:19" ht="16" x14ac:dyDescent="0.2">
      <c r="A123" s="4">
        <v>92587</v>
      </c>
      <c r="B123" s="5" t="s">
        <v>402</v>
      </c>
      <c r="C123" s="5" t="s">
        <v>352</v>
      </c>
      <c r="D123" s="5"/>
      <c r="E123" s="5"/>
      <c r="F123" s="5" t="s">
        <v>27</v>
      </c>
      <c r="G123" s="5" t="s">
        <v>403</v>
      </c>
      <c r="H123" s="4">
        <v>29</v>
      </c>
      <c r="I123" s="4">
        <v>6</v>
      </c>
      <c r="J123" s="4">
        <v>1990</v>
      </c>
      <c r="K123" s="5" t="s">
        <v>404</v>
      </c>
      <c r="L123" s="6" t="s">
        <v>25</v>
      </c>
      <c r="M123" s="13">
        <v>2</v>
      </c>
      <c r="N123" s="13">
        <v>146</v>
      </c>
      <c r="O123" s="13">
        <v>55</v>
      </c>
      <c r="Q123" s="7">
        <f t="shared" si="0"/>
        <v>9.852216748768473E-3</v>
      </c>
      <c r="R123" s="7">
        <f t="shared" si="1"/>
        <v>0.71921182266009853</v>
      </c>
      <c r="S123" s="7">
        <f t="shared" si="2"/>
        <v>0.27093596059113301</v>
      </c>
    </row>
    <row r="124" spans="1:19" ht="16" x14ac:dyDescent="0.2">
      <c r="A124" s="4">
        <v>93844</v>
      </c>
      <c r="B124" s="5" t="s">
        <v>405</v>
      </c>
      <c r="C124" s="5" t="s">
        <v>352</v>
      </c>
      <c r="D124" s="5"/>
      <c r="E124" s="5"/>
      <c r="F124" s="5" t="s">
        <v>77</v>
      </c>
      <c r="G124" s="5" t="s">
        <v>406</v>
      </c>
      <c r="H124" s="4">
        <v>1</v>
      </c>
      <c r="I124" s="4">
        <v>8</v>
      </c>
      <c r="J124" s="4">
        <v>1990</v>
      </c>
      <c r="K124" s="5" t="s">
        <v>407</v>
      </c>
      <c r="L124" s="6" t="s">
        <v>25</v>
      </c>
      <c r="M124" s="13">
        <v>0</v>
      </c>
      <c r="N124" s="13">
        <v>0</v>
      </c>
      <c r="O124" s="13">
        <v>24</v>
      </c>
      <c r="Q124" s="7">
        <f t="shared" si="0"/>
        <v>0</v>
      </c>
      <c r="R124" s="7">
        <f t="shared" si="1"/>
        <v>0</v>
      </c>
      <c r="S124" s="7">
        <f t="shared" si="2"/>
        <v>1</v>
      </c>
    </row>
    <row r="125" spans="1:19" ht="16" x14ac:dyDescent="0.2">
      <c r="A125" s="4">
        <v>94029</v>
      </c>
      <c r="B125" s="5" t="s">
        <v>408</v>
      </c>
      <c r="C125" s="5" t="s">
        <v>352</v>
      </c>
      <c r="D125" s="5"/>
      <c r="E125" s="5"/>
      <c r="F125" s="5" t="s">
        <v>31</v>
      </c>
      <c r="G125" s="5" t="s">
        <v>409</v>
      </c>
      <c r="H125" s="4">
        <v>17</v>
      </c>
      <c r="I125" s="4">
        <v>7</v>
      </c>
      <c r="J125" s="4">
        <v>1990</v>
      </c>
      <c r="K125" s="5" t="s">
        <v>410</v>
      </c>
      <c r="L125" s="6" t="s">
        <v>25</v>
      </c>
      <c r="M125" s="13">
        <v>0</v>
      </c>
      <c r="N125" s="13">
        <v>0</v>
      </c>
      <c r="O125" s="13">
        <v>38</v>
      </c>
      <c r="Q125" s="7">
        <f t="shared" si="0"/>
        <v>0</v>
      </c>
      <c r="R125" s="7">
        <f t="shared" si="1"/>
        <v>0</v>
      </c>
      <c r="S125" s="7">
        <f t="shared" si="2"/>
        <v>1</v>
      </c>
    </row>
    <row r="126" spans="1:19" ht="16" x14ac:dyDescent="0.2">
      <c r="A126" s="4">
        <v>94431</v>
      </c>
      <c r="B126" s="5" t="s">
        <v>411</v>
      </c>
      <c r="C126" s="5" t="s">
        <v>352</v>
      </c>
      <c r="D126" s="5"/>
      <c r="E126" s="5"/>
      <c r="F126" s="5" t="s">
        <v>77</v>
      </c>
      <c r="G126" s="5" t="s">
        <v>412</v>
      </c>
      <c r="H126" s="4">
        <v>7</v>
      </c>
      <c r="I126" s="4">
        <v>8</v>
      </c>
      <c r="J126" s="4">
        <v>1990</v>
      </c>
      <c r="K126" s="5" t="s">
        <v>413</v>
      </c>
      <c r="L126" s="6" t="s">
        <v>25</v>
      </c>
      <c r="M126" s="13">
        <v>0</v>
      </c>
      <c r="N126" s="13">
        <v>0</v>
      </c>
      <c r="O126" s="13">
        <v>22</v>
      </c>
      <c r="Q126" s="7">
        <f t="shared" si="0"/>
        <v>0</v>
      </c>
      <c r="R126" s="7">
        <f t="shared" si="1"/>
        <v>0</v>
      </c>
      <c r="S126" s="7">
        <f t="shared" si="2"/>
        <v>1</v>
      </c>
    </row>
    <row r="127" spans="1:19" ht="16" x14ac:dyDescent="0.2">
      <c r="A127" s="4">
        <v>95440</v>
      </c>
      <c r="B127" s="5" t="s">
        <v>414</v>
      </c>
      <c r="C127" s="5" t="s">
        <v>352</v>
      </c>
      <c r="D127" s="5"/>
      <c r="E127" s="5"/>
      <c r="F127" s="5" t="s">
        <v>31</v>
      </c>
      <c r="G127" s="5" t="s">
        <v>415</v>
      </c>
      <c r="H127" s="4">
        <v>14</v>
      </c>
      <c r="I127" s="4">
        <v>8</v>
      </c>
      <c r="J127" s="4">
        <v>1990</v>
      </c>
      <c r="K127" s="5" t="s">
        <v>416</v>
      </c>
      <c r="L127" s="6" t="s">
        <v>25</v>
      </c>
      <c r="M127" s="13">
        <v>0</v>
      </c>
      <c r="N127" s="13">
        <v>0</v>
      </c>
      <c r="O127" s="13">
        <v>46</v>
      </c>
      <c r="Q127" s="7">
        <f t="shared" si="0"/>
        <v>0</v>
      </c>
      <c r="R127" s="7">
        <f t="shared" si="1"/>
        <v>0</v>
      </c>
      <c r="S127" s="7">
        <f t="shared" si="2"/>
        <v>1</v>
      </c>
    </row>
    <row r="128" spans="1:19" ht="16" x14ac:dyDescent="0.2">
      <c r="A128" s="4">
        <v>96229</v>
      </c>
      <c r="B128" s="5" t="s">
        <v>417</v>
      </c>
      <c r="C128" s="5" t="s">
        <v>352</v>
      </c>
      <c r="D128" s="5"/>
      <c r="E128" s="5"/>
      <c r="F128" s="5" t="s">
        <v>73</v>
      </c>
      <c r="G128" s="5" t="s">
        <v>418</v>
      </c>
      <c r="H128" s="4">
        <v>2</v>
      </c>
      <c r="I128" s="4">
        <v>10</v>
      </c>
      <c r="J128" s="4">
        <v>1990</v>
      </c>
      <c r="K128" s="5" t="s">
        <v>419</v>
      </c>
      <c r="L128" s="6" t="s">
        <v>25</v>
      </c>
      <c r="M128" s="13">
        <v>0</v>
      </c>
      <c r="N128" s="13">
        <v>0</v>
      </c>
      <c r="O128" s="13">
        <v>29</v>
      </c>
      <c r="Q128" s="7">
        <f t="shared" si="0"/>
        <v>0</v>
      </c>
      <c r="R128" s="7">
        <f t="shared" si="1"/>
        <v>0</v>
      </c>
      <c r="S128" s="7">
        <f t="shared" si="2"/>
        <v>1</v>
      </c>
    </row>
    <row r="129" spans="1:19" ht="16" x14ac:dyDescent="0.2">
      <c r="A129" s="4">
        <v>97653</v>
      </c>
      <c r="B129" s="5" t="s">
        <v>420</v>
      </c>
      <c r="C129" s="5" t="s">
        <v>352</v>
      </c>
      <c r="D129" s="5"/>
      <c r="E129" s="5"/>
      <c r="F129" s="5" t="s">
        <v>125</v>
      </c>
      <c r="G129" s="5" t="s">
        <v>421</v>
      </c>
      <c r="H129" s="4">
        <v>13</v>
      </c>
      <c r="I129" s="4">
        <v>6</v>
      </c>
      <c r="J129" s="4">
        <v>1991</v>
      </c>
      <c r="K129" s="5" t="s">
        <v>393</v>
      </c>
      <c r="L129" s="6" t="s">
        <v>25</v>
      </c>
      <c r="M129" s="13">
        <v>16</v>
      </c>
      <c r="N129" s="13">
        <v>136</v>
      </c>
      <c r="O129" s="13">
        <v>36</v>
      </c>
      <c r="Q129" s="7">
        <f t="shared" si="0"/>
        <v>8.5106382978723402E-2</v>
      </c>
      <c r="R129" s="7">
        <f t="shared" si="1"/>
        <v>0.72340425531914898</v>
      </c>
      <c r="S129" s="7">
        <f t="shared" si="2"/>
        <v>0.19148936170212766</v>
      </c>
    </row>
    <row r="130" spans="1:19" ht="16" x14ac:dyDescent="0.2">
      <c r="A130" s="4">
        <v>98625</v>
      </c>
      <c r="B130" s="5" t="s">
        <v>422</v>
      </c>
      <c r="C130" s="5" t="s">
        <v>352</v>
      </c>
      <c r="D130" s="5"/>
      <c r="E130" s="5"/>
      <c r="F130" s="5" t="s">
        <v>31</v>
      </c>
      <c r="G130" s="5" t="s">
        <v>423</v>
      </c>
      <c r="H130" s="4">
        <v>6</v>
      </c>
      <c r="I130" s="4">
        <v>8</v>
      </c>
      <c r="J130" s="4">
        <v>1991</v>
      </c>
      <c r="K130" s="5" t="s">
        <v>424</v>
      </c>
      <c r="L130" s="6" t="s">
        <v>25</v>
      </c>
      <c r="M130" s="13">
        <v>0</v>
      </c>
      <c r="N130" s="13">
        <v>0</v>
      </c>
      <c r="O130" s="13">
        <v>6</v>
      </c>
      <c r="Q130" s="7">
        <f t="shared" si="0"/>
        <v>0</v>
      </c>
      <c r="R130" s="7">
        <f t="shared" si="1"/>
        <v>0</v>
      </c>
      <c r="S130" s="7">
        <f t="shared" si="2"/>
        <v>1</v>
      </c>
    </row>
    <row r="131" spans="1:19" ht="16" x14ac:dyDescent="0.2">
      <c r="A131" s="4">
        <v>105393</v>
      </c>
      <c r="B131" s="5" t="s">
        <v>425</v>
      </c>
      <c r="C131" s="5" t="s">
        <v>352</v>
      </c>
      <c r="D131" s="5"/>
      <c r="E131" s="5"/>
      <c r="F131" s="5" t="s">
        <v>31</v>
      </c>
      <c r="G131" s="5" t="s">
        <v>426</v>
      </c>
      <c r="H131" s="4">
        <v>28</v>
      </c>
      <c r="I131" s="4">
        <v>7</v>
      </c>
      <c r="J131" s="4">
        <v>1992</v>
      </c>
      <c r="K131" s="5" t="s">
        <v>427</v>
      </c>
      <c r="L131" s="6" t="s">
        <v>25</v>
      </c>
      <c r="M131" s="13">
        <v>0</v>
      </c>
      <c r="N131" s="13">
        <v>0</v>
      </c>
      <c r="O131" s="13">
        <v>8</v>
      </c>
      <c r="Q131" s="7">
        <f t="shared" si="0"/>
        <v>0</v>
      </c>
      <c r="R131" s="7">
        <f t="shared" si="1"/>
        <v>0</v>
      </c>
      <c r="S131" s="7">
        <f t="shared" si="2"/>
        <v>1</v>
      </c>
    </row>
    <row r="132" spans="1:19" ht="16" x14ac:dyDescent="0.2">
      <c r="A132" s="4">
        <v>105394</v>
      </c>
      <c r="B132" s="5" t="s">
        <v>428</v>
      </c>
      <c r="C132" s="5" t="s">
        <v>352</v>
      </c>
      <c r="D132" s="5"/>
      <c r="E132" s="5"/>
      <c r="F132" s="5" t="s">
        <v>31</v>
      </c>
      <c r="G132" s="5" t="s">
        <v>429</v>
      </c>
      <c r="H132" s="4">
        <v>28</v>
      </c>
      <c r="I132" s="4">
        <v>7</v>
      </c>
      <c r="J132" s="4">
        <v>1992</v>
      </c>
      <c r="K132" s="5" t="s">
        <v>430</v>
      </c>
      <c r="L132" s="6" t="s">
        <v>25</v>
      </c>
      <c r="M132" s="13">
        <v>0</v>
      </c>
      <c r="N132" s="13">
        <v>0</v>
      </c>
      <c r="O132" s="13">
        <v>29</v>
      </c>
      <c r="Q132" s="7">
        <f t="shared" si="0"/>
        <v>0</v>
      </c>
      <c r="R132" s="7">
        <f t="shared" si="1"/>
        <v>0</v>
      </c>
      <c r="S132" s="7">
        <f t="shared" si="2"/>
        <v>1</v>
      </c>
    </row>
    <row r="133" spans="1:19" ht="16" x14ac:dyDescent="0.2">
      <c r="A133" s="4">
        <v>112816</v>
      </c>
      <c r="B133" s="5" t="s">
        <v>431</v>
      </c>
      <c r="C133" s="5" t="s">
        <v>352</v>
      </c>
      <c r="D133" s="5"/>
      <c r="E133" s="5"/>
      <c r="F133" s="5" t="s">
        <v>186</v>
      </c>
      <c r="G133" s="5" t="s">
        <v>432</v>
      </c>
      <c r="H133" s="4">
        <v>23</v>
      </c>
      <c r="I133" s="4">
        <v>6</v>
      </c>
      <c r="J133" s="4">
        <v>1993</v>
      </c>
      <c r="K133" s="5" t="s">
        <v>433</v>
      </c>
      <c r="L133" s="6" t="s">
        <v>25</v>
      </c>
      <c r="M133" s="13">
        <v>16</v>
      </c>
      <c r="N133" s="13">
        <v>39</v>
      </c>
      <c r="O133" s="13">
        <v>4</v>
      </c>
      <c r="Q133" s="7">
        <f t="shared" si="0"/>
        <v>0.2711864406779661</v>
      </c>
      <c r="R133" s="7">
        <f t="shared" si="1"/>
        <v>0.66101694915254239</v>
      </c>
      <c r="S133" s="7">
        <f t="shared" si="2"/>
        <v>6.7796610169491525E-2</v>
      </c>
    </row>
    <row r="134" spans="1:19" ht="16" x14ac:dyDescent="0.2">
      <c r="A134" s="4">
        <v>112843</v>
      </c>
      <c r="B134" s="5" t="s">
        <v>434</v>
      </c>
      <c r="C134" s="5" t="s">
        <v>352</v>
      </c>
      <c r="D134" s="5"/>
      <c r="E134" s="5"/>
      <c r="F134" s="5" t="s">
        <v>186</v>
      </c>
      <c r="G134" s="5" t="s">
        <v>435</v>
      </c>
      <c r="H134" s="4">
        <v>23</v>
      </c>
      <c r="I134" s="4">
        <v>6</v>
      </c>
      <c r="J134" s="4">
        <v>1993</v>
      </c>
      <c r="K134" s="5" t="s">
        <v>436</v>
      </c>
      <c r="L134" s="6" t="s">
        <v>25</v>
      </c>
      <c r="M134" s="13">
        <v>23</v>
      </c>
      <c r="N134" s="13">
        <v>80</v>
      </c>
      <c r="O134" s="13">
        <v>5</v>
      </c>
      <c r="Q134" s="7">
        <f t="shared" si="0"/>
        <v>0.21296296296296297</v>
      </c>
      <c r="R134" s="7">
        <f t="shared" si="1"/>
        <v>0.7407407407407407</v>
      </c>
      <c r="S134" s="7">
        <f t="shared" si="2"/>
        <v>4.6296296296296294E-2</v>
      </c>
    </row>
    <row r="135" spans="1:19" ht="16" x14ac:dyDescent="0.2">
      <c r="A135" s="4">
        <v>112876</v>
      </c>
      <c r="B135" s="5" t="s">
        <v>437</v>
      </c>
      <c r="C135" s="5" t="s">
        <v>352</v>
      </c>
      <c r="D135" s="5"/>
      <c r="E135" s="5"/>
      <c r="F135" s="5" t="s">
        <v>125</v>
      </c>
      <c r="G135" s="5" t="s">
        <v>438</v>
      </c>
      <c r="H135" s="4">
        <v>22</v>
      </c>
      <c r="I135" s="4">
        <v>6</v>
      </c>
      <c r="J135" s="4">
        <v>1993</v>
      </c>
      <c r="K135" s="5" t="s">
        <v>355</v>
      </c>
      <c r="L135" s="6" t="s">
        <v>25</v>
      </c>
      <c r="M135" s="13">
        <v>79</v>
      </c>
      <c r="N135" s="13">
        <v>153</v>
      </c>
      <c r="O135" s="13">
        <v>3</v>
      </c>
      <c r="Q135" s="7">
        <f t="shared" si="0"/>
        <v>0.33617021276595743</v>
      </c>
      <c r="R135" s="7">
        <f t="shared" si="1"/>
        <v>0.65106382978723409</v>
      </c>
      <c r="S135" s="7">
        <f t="shared" si="2"/>
        <v>1.276595744680851E-2</v>
      </c>
    </row>
    <row r="136" spans="1:19" ht="16" x14ac:dyDescent="0.2">
      <c r="A136" s="4">
        <v>112877</v>
      </c>
      <c r="B136" s="5" t="s">
        <v>439</v>
      </c>
      <c r="C136" s="5" t="s">
        <v>352</v>
      </c>
      <c r="D136" s="5"/>
      <c r="E136" s="5"/>
      <c r="F136" s="5" t="s">
        <v>125</v>
      </c>
      <c r="G136" s="5" t="s">
        <v>440</v>
      </c>
      <c r="H136" s="4">
        <v>22</v>
      </c>
      <c r="I136" s="4">
        <v>6</v>
      </c>
      <c r="J136" s="4">
        <v>1993</v>
      </c>
      <c r="K136" s="5" t="s">
        <v>410</v>
      </c>
      <c r="L136" s="6" t="s">
        <v>25</v>
      </c>
      <c r="M136" s="13">
        <v>16</v>
      </c>
      <c r="N136" s="13">
        <v>52</v>
      </c>
      <c r="O136" s="13">
        <v>0</v>
      </c>
      <c r="Q136" s="7">
        <f t="shared" si="0"/>
        <v>0.23529411764705882</v>
      </c>
      <c r="R136" s="7">
        <f t="shared" si="1"/>
        <v>0.76470588235294112</v>
      </c>
      <c r="S136" s="7">
        <f t="shared" si="2"/>
        <v>0</v>
      </c>
    </row>
    <row r="137" spans="1:19" ht="16" x14ac:dyDescent="0.2">
      <c r="A137" s="4">
        <v>114282</v>
      </c>
      <c r="B137" s="5" t="s">
        <v>441</v>
      </c>
      <c r="C137" s="5" t="s">
        <v>352</v>
      </c>
      <c r="D137" s="5"/>
      <c r="E137" s="5"/>
      <c r="F137" s="5" t="s">
        <v>31</v>
      </c>
      <c r="G137" s="5" t="s">
        <v>442</v>
      </c>
      <c r="H137" s="4">
        <v>3</v>
      </c>
      <c r="I137" s="4">
        <v>8</v>
      </c>
      <c r="J137" s="4">
        <v>1993</v>
      </c>
      <c r="K137" s="5" t="s">
        <v>443</v>
      </c>
      <c r="L137" s="6" t="s">
        <v>25</v>
      </c>
      <c r="M137" s="13">
        <v>0</v>
      </c>
      <c r="N137" s="13">
        <v>0</v>
      </c>
      <c r="O137" s="13">
        <v>5</v>
      </c>
      <c r="Q137" s="7">
        <f t="shared" si="0"/>
        <v>0</v>
      </c>
      <c r="R137" s="7">
        <f t="shared" si="1"/>
        <v>0</v>
      </c>
      <c r="S137" s="7">
        <f t="shared" si="2"/>
        <v>1</v>
      </c>
    </row>
    <row r="138" spans="1:19" ht="16" x14ac:dyDescent="0.2">
      <c r="A138" s="4">
        <v>119775</v>
      </c>
      <c r="B138" s="5" t="s">
        <v>444</v>
      </c>
      <c r="C138" s="5" t="s">
        <v>352</v>
      </c>
      <c r="D138" s="5"/>
      <c r="E138" s="5"/>
      <c r="F138" s="5" t="s">
        <v>125</v>
      </c>
      <c r="G138" s="5" t="s">
        <v>445</v>
      </c>
      <c r="H138" s="4">
        <v>16</v>
      </c>
      <c r="I138" s="4">
        <v>6</v>
      </c>
      <c r="J138" s="4">
        <v>1994</v>
      </c>
      <c r="K138" s="5" t="s">
        <v>446</v>
      </c>
      <c r="L138" s="6" t="s">
        <v>25</v>
      </c>
      <c r="M138" s="13">
        <v>2</v>
      </c>
      <c r="N138" s="13">
        <v>10</v>
      </c>
      <c r="O138" s="13">
        <v>1</v>
      </c>
      <c r="Q138" s="7">
        <f t="shared" si="0"/>
        <v>0.15384615384615385</v>
      </c>
      <c r="R138" s="7">
        <f t="shared" si="1"/>
        <v>0.76923076923076927</v>
      </c>
      <c r="S138" s="7">
        <f t="shared" si="2"/>
        <v>7.6923076923076927E-2</v>
      </c>
    </row>
    <row r="139" spans="1:19" ht="16" x14ac:dyDescent="0.2">
      <c r="A139" s="4">
        <v>119781</v>
      </c>
      <c r="B139" s="5" t="s">
        <v>447</v>
      </c>
      <c r="C139" s="5" t="s">
        <v>352</v>
      </c>
      <c r="D139" s="5"/>
      <c r="E139" s="5"/>
      <c r="F139" s="5" t="s">
        <v>31</v>
      </c>
      <c r="G139" s="5" t="s">
        <v>448</v>
      </c>
      <c r="H139" s="4">
        <v>14</v>
      </c>
      <c r="I139" s="4">
        <v>6</v>
      </c>
      <c r="J139" s="4">
        <v>1994</v>
      </c>
      <c r="K139" s="5" t="s">
        <v>449</v>
      </c>
      <c r="L139" s="6" t="s">
        <v>25</v>
      </c>
      <c r="M139" s="13">
        <v>16</v>
      </c>
      <c r="N139" s="13">
        <v>6</v>
      </c>
      <c r="O139" s="13">
        <v>0</v>
      </c>
      <c r="Q139" s="7">
        <f t="shared" si="0"/>
        <v>0.72727272727272729</v>
      </c>
      <c r="R139" s="7">
        <f t="shared" si="1"/>
        <v>0.27272727272727271</v>
      </c>
      <c r="S139" s="7">
        <f t="shared" si="2"/>
        <v>0</v>
      </c>
    </row>
    <row r="140" spans="1:19" ht="16" x14ac:dyDescent="0.2">
      <c r="A140" s="4">
        <v>120576</v>
      </c>
      <c r="B140" s="5" t="s">
        <v>450</v>
      </c>
      <c r="C140" s="5" t="s">
        <v>352</v>
      </c>
      <c r="D140" s="5"/>
      <c r="E140" s="5"/>
      <c r="F140" s="5" t="s">
        <v>31</v>
      </c>
      <c r="G140" s="5" t="s">
        <v>451</v>
      </c>
      <c r="H140" s="4">
        <v>16</v>
      </c>
      <c r="I140" s="4">
        <v>8</v>
      </c>
      <c r="J140" s="4">
        <v>1994</v>
      </c>
      <c r="K140" s="5" t="s">
        <v>452</v>
      </c>
      <c r="L140" s="6" t="s">
        <v>25</v>
      </c>
      <c r="M140" s="13">
        <v>0</v>
      </c>
      <c r="N140" s="13">
        <v>0</v>
      </c>
      <c r="O140" s="13">
        <v>13</v>
      </c>
      <c r="Q140" s="7">
        <f t="shared" si="0"/>
        <v>0</v>
      </c>
      <c r="R140" s="7">
        <f t="shared" si="1"/>
        <v>0</v>
      </c>
      <c r="S140" s="7">
        <f t="shared" si="2"/>
        <v>1</v>
      </c>
    </row>
    <row r="141" spans="1:19" ht="16" x14ac:dyDescent="0.2">
      <c r="A141" s="4">
        <v>120584</v>
      </c>
      <c r="B141" s="5" t="s">
        <v>453</v>
      </c>
      <c r="C141" s="5" t="s">
        <v>352</v>
      </c>
      <c r="D141" s="5"/>
      <c r="E141" s="5"/>
      <c r="F141" s="5" t="s">
        <v>129</v>
      </c>
      <c r="G141" s="5" t="s">
        <v>454</v>
      </c>
      <c r="H141" s="4">
        <v>2</v>
      </c>
      <c r="I141" s="4">
        <v>8</v>
      </c>
      <c r="J141" s="4">
        <v>1994</v>
      </c>
      <c r="K141" s="5" t="s">
        <v>455</v>
      </c>
      <c r="L141" s="6" t="s">
        <v>25</v>
      </c>
      <c r="M141" s="13">
        <v>0</v>
      </c>
      <c r="N141" s="13">
        <v>0</v>
      </c>
      <c r="O141" s="13">
        <v>31</v>
      </c>
      <c r="Q141" s="7">
        <f t="shared" si="0"/>
        <v>0</v>
      </c>
      <c r="R141" s="7">
        <f t="shared" si="1"/>
        <v>0</v>
      </c>
      <c r="S141" s="7">
        <f t="shared" si="2"/>
        <v>1</v>
      </c>
    </row>
    <row r="142" spans="1:19" ht="16" x14ac:dyDescent="0.2">
      <c r="A142" s="4">
        <v>120609</v>
      </c>
      <c r="B142" s="5" t="s">
        <v>456</v>
      </c>
      <c r="C142" s="5" t="s">
        <v>352</v>
      </c>
      <c r="D142" s="5"/>
      <c r="E142" s="5"/>
      <c r="F142" s="5" t="s">
        <v>129</v>
      </c>
      <c r="G142" s="5" t="s">
        <v>457</v>
      </c>
      <c r="H142" s="4">
        <v>3</v>
      </c>
      <c r="I142" s="4">
        <v>8</v>
      </c>
      <c r="J142" s="4">
        <v>1994</v>
      </c>
      <c r="K142" s="5" t="s">
        <v>458</v>
      </c>
      <c r="L142" s="6" t="s">
        <v>25</v>
      </c>
      <c r="M142" s="13">
        <v>0</v>
      </c>
      <c r="N142" s="13">
        <v>0</v>
      </c>
      <c r="O142" s="13">
        <v>10</v>
      </c>
      <c r="Q142" s="7">
        <f t="shared" si="0"/>
        <v>0</v>
      </c>
      <c r="R142" s="7">
        <f t="shared" si="1"/>
        <v>0</v>
      </c>
      <c r="S142" s="7">
        <f t="shared" si="2"/>
        <v>1</v>
      </c>
    </row>
    <row r="143" spans="1:19" ht="16" x14ac:dyDescent="0.2">
      <c r="A143" s="4">
        <v>120616</v>
      </c>
      <c r="B143" s="5" t="s">
        <v>459</v>
      </c>
      <c r="C143" s="5" t="s">
        <v>352</v>
      </c>
      <c r="D143" s="5"/>
      <c r="E143" s="5"/>
      <c r="F143" s="5" t="s">
        <v>129</v>
      </c>
      <c r="G143" s="5" t="s">
        <v>460</v>
      </c>
      <c r="H143" s="4">
        <v>3</v>
      </c>
      <c r="I143" s="4">
        <v>8</v>
      </c>
      <c r="J143" s="4">
        <v>1994</v>
      </c>
      <c r="K143" s="5" t="s">
        <v>461</v>
      </c>
      <c r="L143" s="6" t="s">
        <v>25</v>
      </c>
      <c r="M143" s="13">
        <v>0</v>
      </c>
      <c r="N143" s="13">
        <v>0</v>
      </c>
      <c r="O143" s="13">
        <v>8</v>
      </c>
      <c r="Q143" s="7">
        <f t="shared" si="0"/>
        <v>0</v>
      </c>
      <c r="R143" s="7">
        <f t="shared" si="1"/>
        <v>0</v>
      </c>
      <c r="S143" s="7">
        <f t="shared" si="2"/>
        <v>1</v>
      </c>
    </row>
    <row r="144" spans="1:19" ht="16" x14ac:dyDescent="0.2">
      <c r="A144" s="4">
        <v>120639</v>
      </c>
      <c r="B144" s="5" t="s">
        <v>462</v>
      </c>
      <c r="C144" s="5" t="s">
        <v>352</v>
      </c>
      <c r="D144" s="5"/>
      <c r="E144" s="5"/>
      <c r="F144" s="5" t="s">
        <v>31</v>
      </c>
      <c r="G144" s="5" t="s">
        <v>463</v>
      </c>
      <c r="H144" s="4">
        <v>24</v>
      </c>
      <c r="I144" s="4">
        <v>8</v>
      </c>
      <c r="J144" s="4">
        <v>1994</v>
      </c>
      <c r="K144" s="5" t="s">
        <v>464</v>
      </c>
      <c r="L144" s="6" t="s">
        <v>25</v>
      </c>
      <c r="M144" s="13">
        <v>0</v>
      </c>
      <c r="N144" s="13">
        <v>0</v>
      </c>
      <c r="O144" s="13">
        <v>64</v>
      </c>
      <c r="Q144" s="7">
        <f t="shared" si="0"/>
        <v>0</v>
      </c>
      <c r="R144" s="7">
        <f t="shared" si="1"/>
        <v>0</v>
      </c>
      <c r="S144" s="7">
        <f t="shared" si="2"/>
        <v>1</v>
      </c>
    </row>
    <row r="145" spans="1:19" ht="16" x14ac:dyDescent="0.2">
      <c r="A145" s="4">
        <v>120640</v>
      </c>
      <c r="B145" s="5" t="s">
        <v>465</v>
      </c>
      <c r="C145" s="5" t="s">
        <v>352</v>
      </c>
      <c r="D145" s="5"/>
      <c r="E145" s="5"/>
      <c r="F145" s="5" t="s">
        <v>31</v>
      </c>
      <c r="G145" s="5" t="s">
        <v>466</v>
      </c>
      <c r="H145" s="4">
        <v>24</v>
      </c>
      <c r="I145" s="4">
        <v>8</v>
      </c>
      <c r="J145" s="4">
        <v>1994</v>
      </c>
      <c r="K145" s="5" t="s">
        <v>467</v>
      </c>
      <c r="L145" s="6" t="s">
        <v>25</v>
      </c>
      <c r="M145" s="13">
        <v>0</v>
      </c>
      <c r="N145" s="13">
        <v>0</v>
      </c>
      <c r="O145" s="13">
        <v>19</v>
      </c>
      <c r="Q145" s="7">
        <f t="shared" si="0"/>
        <v>0</v>
      </c>
      <c r="R145" s="7">
        <f t="shared" si="1"/>
        <v>0</v>
      </c>
      <c r="S145" s="7">
        <f t="shared" si="2"/>
        <v>1</v>
      </c>
    </row>
    <row r="146" spans="1:19" ht="16" x14ac:dyDescent="0.2">
      <c r="A146" s="4">
        <v>122220</v>
      </c>
      <c r="B146" s="5" t="s">
        <v>468</v>
      </c>
      <c r="C146" s="5" t="s">
        <v>352</v>
      </c>
      <c r="D146" s="5"/>
      <c r="E146" s="5"/>
      <c r="F146" s="5" t="s">
        <v>125</v>
      </c>
      <c r="G146" s="5" t="s">
        <v>469</v>
      </c>
      <c r="H146" s="4">
        <v>25</v>
      </c>
      <c r="I146" s="4">
        <v>8</v>
      </c>
      <c r="J146" s="4">
        <v>1994</v>
      </c>
      <c r="K146" s="5" t="s">
        <v>470</v>
      </c>
      <c r="L146" s="6" t="s">
        <v>25</v>
      </c>
      <c r="M146" s="13">
        <v>0</v>
      </c>
      <c r="N146" s="13">
        <v>0</v>
      </c>
      <c r="O146" s="13">
        <v>3</v>
      </c>
      <c r="Q146" s="7">
        <f t="shared" si="0"/>
        <v>0</v>
      </c>
      <c r="R146" s="7">
        <f t="shared" si="1"/>
        <v>0</v>
      </c>
      <c r="S146" s="7">
        <f t="shared" si="2"/>
        <v>1</v>
      </c>
    </row>
    <row r="147" spans="1:19" ht="16" x14ac:dyDescent="0.2">
      <c r="A147" s="4">
        <v>138381</v>
      </c>
      <c r="B147" s="5" t="s">
        <v>471</v>
      </c>
      <c r="C147" s="5" t="s">
        <v>352</v>
      </c>
      <c r="D147" s="5"/>
      <c r="E147" s="5"/>
      <c r="F147" s="5" t="s">
        <v>119</v>
      </c>
      <c r="G147" s="4">
        <v>7847</v>
      </c>
      <c r="H147" s="4">
        <v>13</v>
      </c>
      <c r="I147" s="4">
        <v>8</v>
      </c>
      <c r="J147" s="4">
        <v>1997</v>
      </c>
      <c r="K147" s="5" t="s">
        <v>378</v>
      </c>
      <c r="L147" s="6" t="s">
        <v>25</v>
      </c>
      <c r="M147" s="13">
        <v>0</v>
      </c>
      <c r="N147" s="13">
        <v>0</v>
      </c>
      <c r="O147" s="13">
        <v>63</v>
      </c>
      <c r="Q147" s="7">
        <f t="shared" si="0"/>
        <v>0</v>
      </c>
      <c r="R147" s="7">
        <f t="shared" si="1"/>
        <v>0</v>
      </c>
      <c r="S147" s="7">
        <f t="shared" si="2"/>
        <v>1</v>
      </c>
    </row>
    <row r="148" spans="1:19" ht="16" x14ac:dyDescent="0.2">
      <c r="A148" s="4">
        <v>142081</v>
      </c>
      <c r="B148" s="5" t="s">
        <v>472</v>
      </c>
      <c r="C148" s="5" t="s">
        <v>352</v>
      </c>
      <c r="D148" s="5"/>
      <c r="E148" s="5"/>
      <c r="F148" s="5" t="s">
        <v>473</v>
      </c>
      <c r="G148" s="5" t="s">
        <v>167</v>
      </c>
      <c r="H148" s="4">
        <v>31</v>
      </c>
      <c r="I148" s="4">
        <v>7</v>
      </c>
      <c r="J148" s="4">
        <v>1998</v>
      </c>
      <c r="K148" s="5" t="s">
        <v>474</v>
      </c>
      <c r="L148" s="6" t="s">
        <v>25</v>
      </c>
      <c r="M148" s="13">
        <v>0</v>
      </c>
      <c r="N148" s="13">
        <v>0</v>
      </c>
      <c r="O148" s="13">
        <v>17</v>
      </c>
      <c r="Q148" s="7">
        <f t="shared" si="0"/>
        <v>0</v>
      </c>
      <c r="R148" s="7">
        <f t="shared" si="1"/>
        <v>0</v>
      </c>
      <c r="S148" s="7">
        <f t="shared" si="2"/>
        <v>1</v>
      </c>
    </row>
    <row r="149" spans="1:19" ht="16" x14ac:dyDescent="0.2">
      <c r="A149" s="4">
        <v>143725</v>
      </c>
      <c r="B149" s="5" t="s">
        <v>475</v>
      </c>
      <c r="C149" s="5" t="s">
        <v>352</v>
      </c>
      <c r="D149" s="5"/>
      <c r="E149" s="5"/>
      <c r="F149" s="5" t="s">
        <v>476</v>
      </c>
      <c r="G149" s="5" t="s">
        <v>477</v>
      </c>
      <c r="H149" s="4">
        <v>25</v>
      </c>
      <c r="I149" s="4">
        <v>5</v>
      </c>
      <c r="J149" s="4">
        <v>1999</v>
      </c>
      <c r="K149" s="5" t="s">
        <v>478</v>
      </c>
      <c r="L149" s="6" t="s">
        <v>25</v>
      </c>
      <c r="M149" s="13">
        <v>15</v>
      </c>
      <c r="N149" s="13">
        <v>0</v>
      </c>
      <c r="O149" s="13">
        <v>0</v>
      </c>
      <c r="Q149" s="7">
        <f t="shared" si="0"/>
        <v>1</v>
      </c>
      <c r="R149" s="7">
        <f t="shared" si="1"/>
        <v>0</v>
      </c>
      <c r="S149" s="7">
        <f t="shared" si="2"/>
        <v>0</v>
      </c>
    </row>
    <row r="150" spans="1:19" ht="16" x14ac:dyDescent="0.2">
      <c r="A150" s="4">
        <v>144047</v>
      </c>
      <c r="B150" s="5" t="s">
        <v>479</v>
      </c>
      <c r="C150" s="5" t="s">
        <v>352</v>
      </c>
      <c r="D150" s="5"/>
      <c r="E150" s="5"/>
      <c r="F150" s="5" t="s">
        <v>31</v>
      </c>
      <c r="G150" s="5" t="s">
        <v>480</v>
      </c>
      <c r="H150" s="4">
        <v>26</v>
      </c>
      <c r="I150" s="4">
        <v>7</v>
      </c>
      <c r="J150" s="4">
        <v>1999</v>
      </c>
      <c r="K150" s="5" t="s">
        <v>481</v>
      </c>
      <c r="L150" s="6" t="s">
        <v>25</v>
      </c>
      <c r="M150" s="13">
        <v>0</v>
      </c>
      <c r="N150" s="13">
        <v>0</v>
      </c>
      <c r="O150" s="13">
        <v>7</v>
      </c>
      <c r="Q150" s="7">
        <f t="shared" si="0"/>
        <v>0</v>
      </c>
      <c r="R150" s="7">
        <f t="shared" si="1"/>
        <v>0</v>
      </c>
      <c r="S150" s="7">
        <f t="shared" si="2"/>
        <v>1</v>
      </c>
    </row>
    <row r="151" spans="1:19" ht="16" x14ac:dyDescent="0.2">
      <c r="A151" s="4">
        <v>155779</v>
      </c>
      <c r="B151" s="5" t="s">
        <v>482</v>
      </c>
      <c r="C151" s="5" t="s">
        <v>352</v>
      </c>
      <c r="D151" s="5"/>
      <c r="E151" s="5"/>
      <c r="F151" s="5" t="s">
        <v>99</v>
      </c>
      <c r="G151" s="4">
        <v>3</v>
      </c>
      <c r="H151" s="4">
        <v>30</v>
      </c>
      <c r="I151" s="4">
        <v>6</v>
      </c>
      <c r="J151" s="4">
        <v>2003</v>
      </c>
      <c r="K151" s="5" t="s">
        <v>483</v>
      </c>
      <c r="L151" s="6" t="s">
        <v>25</v>
      </c>
      <c r="M151" s="13">
        <v>67</v>
      </c>
      <c r="N151" s="13">
        <v>34</v>
      </c>
      <c r="O151" s="13">
        <v>0</v>
      </c>
      <c r="Q151" s="7">
        <f t="shared" si="0"/>
        <v>0.6633663366336634</v>
      </c>
      <c r="R151" s="7">
        <f t="shared" si="1"/>
        <v>0.33663366336633666</v>
      </c>
      <c r="S151" s="7">
        <f t="shared" si="2"/>
        <v>0</v>
      </c>
    </row>
    <row r="152" spans="1:19" ht="16" x14ac:dyDescent="0.2">
      <c r="A152" s="4">
        <v>155986</v>
      </c>
      <c r="B152" s="5" t="s">
        <v>484</v>
      </c>
      <c r="C152" s="5" t="s">
        <v>352</v>
      </c>
      <c r="D152" s="5"/>
      <c r="E152" s="5"/>
      <c r="F152" s="5" t="s">
        <v>31</v>
      </c>
      <c r="G152" s="5" t="s">
        <v>485</v>
      </c>
      <c r="H152" s="4">
        <v>20</v>
      </c>
      <c r="I152" s="4">
        <v>8</v>
      </c>
      <c r="J152" s="4">
        <v>2002</v>
      </c>
      <c r="K152" s="5" t="s">
        <v>486</v>
      </c>
      <c r="L152" s="6" t="s">
        <v>25</v>
      </c>
      <c r="M152" s="13">
        <v>0</v>
      </c>
      <c r="N152" s="13">
        <v>0</v>
      </c>
      <c r="O152" s="13">
        <v>26</v>
      </c>
      <c r="Q152" s="7">
        <f t="shared" si="0"/>
        <v>0</v>
      </c>
      <c r="R152" s="7">
        <f t="shared" si="1"/>
        <v>0</v>
      </c>
      <c r="S152" s="7">
        <f t="shared" si="2"/>
        <v>1</v>
      </c>
    </row>
    <row r="153" spans="1:19" ht="16" x14ac:dyDescent="0.2">
      <c r="A153" s="4">
        <v>158960</v>
      </c>
      <c r="B153" s="5" t="s">
        <v>487</v>
      </c>
      <c r="C153" s="5" t="s">
        <v>352</v>
      </c>
      <c r="D153" s="5"/>
      <c r="E153" s="5"/>
      <c r="F153" s="5" t="s">
        <v>31</v>
      </c>
      <c r="G153" s="5" t="s">
        <v>488</v>
      </c>
      <c r="H153" s="4">
        <v>30</v>
      </c>
      <c r="I153" s="4">
        <v>6</v>
      </c>
      <c r="J153" s="4">
        <v>2003</v>
      </c>
      <c r="K153" s="5" t="s">
        <v>489</v>
      </c>
      <c r="L153" s="6" t="s">
        <v>25</v>
      </c>
      <c r="M153" s="13">
        <v>9</v>
      </c>
      <c r="N153" s="13">
        <v>30</v>
      </c>
      <c r="O153" s="13">
        <v>51</v>
      </c>
      <c r="Q153" s="7">
        <f t="shared" si="0"/>
        <v>0.1</v>
      </c>
      <c r="R153" s="7">
        <f t="shared" si="1"/>
        <v>0.33333333333333331</v>
      </c>
      <c r="S153" s="7">
        <f t="shared" si="2"/>
        <v>0.56666666666666665</v>
      </c>
    </row>
    <row r="154" spans="1:19" ht="16" x14ac:dyDescent="0.2">
      <c r="A154" s="4">
        <v>163488</v>
      </c>
      <c r="B154" s="5" t="s">
        <v>490</v>
      </c>
      <c r="C154" s="5" t="s">
        <v>352</v>
      </c>
      <c r="D154" s="5"/>
      <c r="E154" s="5"/>
      <c r="F154" s="5" t="s">
        <v>491</v>
      </c>
      <c r="G154" s="5" t="s">
        <v>492</v>
      </c>
      <c r="H154" s="4">
        <v>9</v>
      </c>
      <c r="I154" s="4">
        <v>8</v>
      </c>
      <c r="J154" s="4">
        <v>2007</v>
      </c>
      <c r="K154" s="5" t="s">
        <v>493</v>
      </c>
      <c r="L154" s="6" t="s">
        <v>25</v>
      </c>
      <c r="M154" s="13">
        <v>0</v>
      </c>
      <c r="N154" s="13">
        <v>0</v>
      </c>
      <c r="O154" s="13">
        <v>28</v>
      </c>
      <c r="Q154" s="7">
        <f t="shared" si="0"/>
        <v>0</v>
      </c>
      <c r="R154" s="7">
        <f t="shared" si="1"/>
        <v>0</v>
      </c>
      <c r="S154" s="7">
        <f t="shared" si="2"/>
        <v>1</v>
      </c>
    </row>
    <row r="155" spans="1:19" ht="16" x14ac:dyDescent="0.2">
      <c r="A155" s="4">
        <v>171246</v>
      </c>
      <c r="B155" s="5" t="s">
        <v>494</v>
      </c>
      <c r="C155" s="5" t="s">
        <v>352</v>
      </c>
      <c r="D155" s="5"/>
      <c r="E155" s="5"/>
      <c r="F155" s="5" t="s">
        <v>495</v>
      </c>
      <c r="G155" s="5" t="s">
        <v>496</v>
      </c>
      <c r="H155" s="4">
        <v>15</v>
      </c>
      <c r="I155" s="4">
        <v>6</v>
      </c>
      <c r="J155" s="4">
        <v>2010</v>
      </c>
      <c r="K155" s="5" t="s">
        <v>497</v>
      </c>
      <c r="L155" s="6" t="s">
        <v>25</v>
      </c>
      <c r="M155" s="13">
        <v>11</v>
      </c>
      <c r="N155" s="13">
        <v>50</v>
      </c>
      <c r="O155" s="13">
        <v>0</v>
      </c>
      <c r="Q155" s="7">
        <f t="shared" si="0"/>
        <v>0.18032786885245902</v>
      </c>
      <c r="R155" s="7">
        <f t="shared" si="1"/>
        <v>0.81967213114754101</v>
      </c>
      <c r="S155" s="7">
        <f t="shared" si="2"/>
        <v>0</v>
      </c>
    </row>
    <row r="156" spans="1:19" ht="16" x14ac:dyDescent="0.2">
      <c r="A156" s="4">
        <v>171355</v>
      </c>
      <c r="B156" s="5" t="s">
        <v>498</v>
      </c>
      <c r="C156" s="5" t="s">
        <v>352</v>
      </c>
      <c r="D156" s="5"/>
      <c r="E156" s="5"/>
      <c r="F156" s="5" t="s">
        <v>499</v>
      </c>
      <c r="G156" s="5" t="s">
        <v>500</v>
      </c>
      <c r="H156" s="4">
        <v>15</v>
      </c>
      <c r="I156" s="4">
        <v>6</v>
      </c>
      <c r="J156" s="4">
        <v>2010</v>
      </c>
      <c r="K156" s="5" t="s">
        <v>501</v>
      </c>
      <c r="L156" s="6" t="s">
        <v>25</v>
      </c>
      <c r="M156" s="13">
        <v>1</v>
      </c>
      <c r="N156" s="13">
        <v>2</v>
      </c>
      <c r="O156" s="13">
        <v>0</v>
      </c>
      <c r="Q156" s="7">
        <f t="shared" si="0"/>
        <v>0.33333333333333331</v>
      </c>
      <c r="R156" s="7">
        <f t="shared" si="1"/>
        <v>0.66666666666666663</v>
      </c>
      <c r="S156" s="7">
        <f t="shared" si="2"/>
        <v>0</v>
      </c>
    </row>
    <row r="157" spans="1:19" ht="16" x14ac:dyDescent="0.2">
      <c r="A157" s="4">
        <v>176984</v>
      </c>
      <c r="B157" s="5" t="s">
        <v>502</v>
      </c>
      <c r="C157" s="5" t="s">
        <v>352</v>
      </c>
      <c r="D157" s="5"/>
      <c r="E157" s="5"/>
      <c r="F157" s="5" t="s">
        <v>258</v>
      </c>
      <c r="G157" s="5" t="s">
        <v>503</v>
      </c>
      <c r="H157" s="4">
        <v>26</v>
      </c>
      <c r="I157" s="4">
        <v>6</v>
      </c>
      <c r="J157" s="4">
        <v>2013</v>
      </c>
      <c r="K157" s="5" t="s">
        <v>504</v>
      </c>
      <c r="L157" s="6" t="s">
        <v>25</v>
      </c>
      <c r="M157" s="13">
        <v>0</v>
      </c>
      <c r="N157" s="13">
        <v>29</v>
      </c>
      <c r="O157" s="13">
        <v>62</v>
      </c>
      <c r="Q157" s="7">
        <f t="shared" si="0"/>
        <v>0</v>
      </c>
      <c r="R157" s="7">
        <f t="shared" si="1"/>
        <v>0.31868131868131866</v>
      </c>
      <c r="S157" s="7">
        <f t="shared" si="2"/>
        <v>0.68131868131868134</v>
      </c>
    </row>
    <row r="158" spans="1:19" ht="16" x14ac:dyDescent="0.2">
      <c r="A158" s="4">
        <v>177329</v>
      </c>
      <c r="B158" s="5" t="s">
        <v>505</v>
      </c>
      <c r="C158" s="5" t="s">
        <v>352</v>
      </c>
      <c r="D158" s="5"/>
      <c r="E158" s="5"/>
      <c r="F158" s="5" t="s">
        <v>506</v>
      </c>
      <c r="G158" s="5" t="s">
        <v>507</v>
      </c>
      <c r="H158" s="4">
        <v>26</v>
      </c>
      <c r="I158" s="4">
        <v>6</v>
      </c>
      <c r="J158" s="4">
        <v>2013</v>
      </c>
      <c r="K158" s="5" t="s">
        <v>508</v>
      </c>
      <c r="L158" s="6" t="s">
        <v>25</v>
      </c>
      <c r="M158" s="13">
        <v>39</v>
      </c>
      <c r="N158" s="13">
        <v>0</v>
      </c>
      <c r="O158" s="13">
        <v>0</v>
      </c>
      <c r="Q158" s="7">
        <f t="shared" si="0"/>
        <v>1</v>
      </c>
      <c r="R158" s="7">
        <f t="shared" si="1"/>
        <v>0</v>
      </c>
      <c r="S158" s="7">
        <f t="shared" si="2"/>
        <v>0</v>
      </c>
    </row>
    <row r="159" spans="1:19" ht="16" x14ac:dyDescent="0.2">
      <c r="A159" s="4">
        <v>177331</v>
      </c>
      <c r="B159" s="5" t="s">
        <v>509</v>
      </c>
      <c r="C159" s="5" t="s">
        <v>352</v>
      </c>
      <c r="D159" s="5"/>
      <c r="E159" s="5"/>
      <c r="F159" s="5" t="s">
        <v>510</v>
      </c>
      <c r="G159" s="5" t="s">
        <v>511</v>
      </c>
      <c r="H159" s="4">
        <v>26</v>
      </c>
      <c r="I159" s="4">
        <v>6</v>
      </c>
      <c r="J159" s="4">
        <v>2013</v>
      </c>
      <c r="K159" s="5" t="s">
        <v>512</v>
      </c>
      <c r="L159" s="6" t="s">
        <v>25</v>
      </c>
      <c r="M159" s="13">
        <v>26</v>
      </c>
      <c r="N159" s="13">
        <v>33</v>
      </c>
      <c r="O159" s="13">
        <v>0</v>
      </c>
      <c r="Q159" s="7">
        <f t="shared" si="0"/>
        <v>0.44067796610169491</v>
      </c>
      <c r="R159" s="7">
        <f t="shared" si="1"/>
        <v>0.55932203389830504</v>
      </c>
      <c r="S159" s="7">
        <f t="shared" si="2"/>
        <v>0</v>
      </c>
    </row>
    <row r="160" spans="1:19" ht="16" x14ac:dyDescent="0.2">
      <c r="A160" s="4">
        <v>177334</v>
      </c>
      <c r="B160" s="5" t="s">
        <v>513</v>
      </c>
      <c r="C160" s="5" t="s">
        <v>352</v>
      </c>
      <c r="D160" s="5"/>
      <c r="E160" s="5"/>
      <c r="F160" s="5" t="s">
        <v>113</v>
      </c>
      <c r="G160" s="5" t="s">
        <v>514</v>
      </c>
      <c r="H160" s="4">
        <v>16</v>
      </c>
      <c r="I160" s="4">
        <v>7</v>
      </c>
      <c r="J160" s="4">
        <v>2013</v>
      </c>
      <c r="K160" s="5" t="s">
        <v>504</v>
      </c>
      <c r="L160" s="6" t="s">
        <v>25</v>
      </c>
      <c r="M160" s="13">
        <v>0</v>
      </c>
      <c r="N160" s="13">
        <v>0</v>
      </c>
      <c r="O160" s="13">
        <v>16</v>
      </c>
      <c r="Q160" s="7">
        <f t="shared" si="0"/>
        <v>0</v>
      </c>
      <c r="R160" s="7">
        <f t="shared" si="1"/>
        <v>0</v>
      </c>
      <c r="S160" s="7">
        <f t="shared" si="2"/>
        <v>1</v>
      </c>
    </row>
    <row r="161" spans="1:19" ht="16" x14ac:dyDescent="0.2">
      <c r="A161" s="4">
        <v>177339</v>
      </c>
      <c r="B161" s="5" t="s">
        <v>515</v>
      </c>
      <c r="C161" s="5" t="s">
        <v>352</v>
      </c>
      <c r="D161" s="5"/>
      <c r="E161" s="5"/>
      <c r="F161" s="5" t="s">
        <v>113</v>
      </c>
      <c r="G161" s="5" t="s">
        <v>516</v>
      </c>
      <c r="H161" s="4">
        <v>16</v>
      </c>
      <c r="I161" s="4">
        <v>7</v>
      </c>
      <c r="J161" s="4">
        <v>2013</v>
      </c>
      <c r="K161" s="5" t="s">
        <v>517</v>
      </c>
      <c r="L161" s="6" t="s">
        <v>25</v>
      </c>
      <c r="M161" s="13">
        <v>0</v>
      </c>
      <c r="N161" s="13">
        <v>0</v>
      </c>
      <c r="O161" s="13">
        <v>43</v>
      </c>
      <c r="Q161" s="7">
        <f t="shared" si="0"/>
        <v>0</v>
      </c>
      <c r="R161" s="7">
        <f t="shared" si="1"/>
        <v>0</v>
      </c>
      <c r="S161" s="7">
        <f t="shared" si="2"/>
        <v>1</v>
      </c>
    </row>
    <row r="162" spans="1:19" ht="16" x14ac:dyDescent="0.2">
      <c r="A162" s="4">
        <v>177465</v>
      </c>
      <c r="B162" s="5" t="s">
        <v>518</v>
      </c>
      <c r="C162" s="5" t="s">
        <v>352</v>
      </c>
      <c r="D162" s="5"/>
      <c r="E162" s="5"/>
      <c r="F162" s="5" t="s">
        <v>519</v>
      </c>
      <c r="G162" s="5" t="s">
        <v>520</v>
      </c>
      <c r="H162" s="4">
        <v>22</v>
      </c>
      <c r="I162" s="4">
        <v>7</v>
      </c>
      <c r="J162" s="4">
        <v>2013</v>
      </c>
      <c r="K162" s="5" t="s">
        <v>517</v>
      </c>
      <c r="L162" s="6" t="s">
        <v>25</v>
      </c>
      <c r="M162" s="13">
        <v>0</v>
      </c>
      <c r="N162" s="13">
        <v>0</v>
      </c>
      <c r="O162" s="13">
        <v>29</v>
      </c>
      <c r="Q162" s="7">
        <f t="shared" si="0"/>
        <v>0</v>
      </c>
      <c r="R162" s="7">
        <f t="shared" si="1"/>
        <v>0</v>
      </c>
      <c r="S162" s="7">
        <f t="shared" si="2"/>
        <v>1</v>
      </c>
    </row>
    <row r="163" spans="1:19" ht="16" x14ac:dyDescent="0.2">
      <c r="A163" s="4">
        <v>177466</v>
      </c>
      <c r="B163" s="5" t="s">
        <v>521</v>
      </c>
      <c r="C163" s="5" t="s">
        <v>352</v>
      </c>
      <c r="D163" s="5"/>
      <c r="E163" s="5"/>
      <c r="F163" s="5" t="s">
        <v>522</v>
      </c>
      <c r="G163" s="5" t="s">
        <v>523</v>
      </c>
      <c r="H163" s="4">
        <v>23</v>
      </c>
      <c r="I163" s="4">
        <v>7</v>
      </c>
      <c r="J163" s="4">
        <v>2013</v>
      </c>
      <c r="K163" s="5" t="s">
        <v>517</v>
      </c>
      <c r="L163" s="6" t="s">
        <v>25</v>
      </c>
      <c r="M163" s="13">
        <v>0</v>
      </c>
      <c r="N163" s="13">
        <v>0</v>
      </c>
      <c r="O163" s="13">
        <v>31</v>
      </c>
      <c r="Q163" s="7">
        <f t="shared" si="0"/>
        <v>0</v>
      </c>
      <c r="R163" s="7">
        <f t="shared" si="1"/>
        <v>0</v>
      </c>
      <c r="S163" s="7">
        <f t="shared" si="2"/>
        <v>1</v>
      </c>
    </row>
    <row r="164" spans="1:19" ht="16" x14ac:dyDescent="0.2">
      <c r="A164" s="4">
        <v>177474</v>
      </c>
      <c r="B164" s="5" t="s">
        <v>524</v>
      </c>
      <c r="C164" s="5" t="s">
        <v>352</v>
      </c>
      <c r="D164" s="5"/>
      <c r="E164" s="5"/>
      <c r="F164" s="5" t="s">
        <v>519</v>
      </c>
      <c r="G164" s="5" t="s">
        <v>525</v>
      </c>
      <c r="H164" s="4">
        <v>22</v>
      </c>
      <c r="I164" s="4">
        <v>7</v>
      </c>
      <c r="J164" s="4">
        <v>2013</v>
      </c>
      <c r="K164" s="5" t="s">
        <v>526</v>
      </c>
      <c r="L164" s="6" t="s">
        <v>25</v>
      </c>
      <c r="M164" s="13">
        <v>0</v>
      </c>
      <c r="N164" s="13">
        <v>0</v>
      </c>
      <c r="O164" s="13">
        <v>19</v>
      </c>
      <c r="Q164" s="7">
        <f t="shared" si="0"/>
        <v>0</v>
      </c>
      <c r="R164" s="7">
        <f t="shared" si="1"/>
        <v>0</v>
      </c>
      <c r="S164" s="7">
        <f t="shared" si="2"/>
        <v>1</v>
      </c>
    </row>
    <row r="165" spans="1:19" ht="16" x14ac:dyDescent="0.2">
      <c r="A165" s="4">
        <v>181628</v>
      </c>
      <c r="B165" s="5" t="s">
        <v>527</v>
      </c>
      <c r="C165" s="5" t="s">
        <v>352</v>
      </c>
      <c r="D165" s="5"/>
      <c r="E165" s="5"/>
      <c r="F165" s="5" t="s">
        <v>113</v>
      </c>
      <c r="G165" s="5" t="s">
        <v>528</v>
      </c>
      <c r="H165" s="4">
        <v>28</v>
      </c>
      <c r="I165" s="4">
        <v>7</v>
      </c>
      <c r="J165" s="4">
        <v>2015</v>
      </c>
      <c r="K165" s="5" t="s">
        <v>512</v>
      </c>
      <c r="L165" s="6" t="s">
        <v>25</v>
      </c>
      <c r="M165" s="13">
        <v>0</v>
      </c>
      <c r="N165" s="13">
        <v>0</v>
      </c>
      <c r="O165" s="13">
        <v>34</v>
      </c>
      <c r="Q165" s="7">
        <f t="shared" si="0"/>
        <v>0</v>
      </c>
      <c r="R165" s="7">
        <f t="shared" si="1"/>
        <v>0</v>
      </c>
      <c r="S165" s="7">
        <f t="shared" si="2"/>
        <v>1</v>
      </c>
    </row>
    <row r="166" spans="1:19" ht="16" x14ac:dyDescent="0.2">
      <c r="A166" s="4">
        <v>182181</v>
      </c>
      <c r="B166" s="5" t="s">
        <v>529</v>
      </c>
      <c r="C166" s="5" t="s">
        <v>352</v>
      </c>
      <c r="D166" s="5"/>
      <c r="E166" s="5"/>
      <c r="F166" s="5" t="s">
        <v>530</v>
      </c>
      <c r="G166" s="5" t="s">
        <v>531</v>
      </c>
      <c r="H166" s="5"/>
      <c r="I166" s="5"/>
      <c r="J166" s="5"/>
      <c r="K166" s="5" t="s">
        <v>508</v>
      </c>
      <c r="L166" s="6" t="s">
        <v>25</v>
      </c>
      <c r="M166" s="13">
        <v>0</v>
      </c>
      <c r="N166" s="13">
        <v>0</v>
      </c>
      <c r="O166" s="13">
        <v>49</v>
      </c>
      <c r="Q166" s="7">
        <f t="shared" si="0"/>
        <v>0</v>
      </c>
      <c r="R166" s="7">
        <f t="shared" si="1"/>
        <v>0</v>
      </c>
      <c r="S166" s="7">
        <f t="shared" si="2"/>
        <v>1</v>
      </c>
    </row>
    <row r="167" spans="1:19" ht="16" x14ac:dyDescent="0.2">
      <c r="A167" s="4">
        <v>183123</v>
      </c>
      <c r="B167" s="5" t="s">
        <v>532</v>
      </c>
      <c r="C167" s="5" t="s">
        <v>352</v>
      </c>
      <c r="D167" s="5"/>
      <c r="E167" s="5"/>
      <c r="F167" s="5" t="s">
        <v>277</v>
      </c>
      <c r="G167" s="5" t="s">
        <v>533</v>
      </c>
      <c r="H167" s="4">
        <v>16</v>
      </c>
      <c r="I167" s="4">
        <v>6</v>
      </c>
      <c r="J167" s="4">
        <v>2016</v>
      </c>
      <c r="K167" s="5" t="s">
        <v>534</v>
      </c>
      <c r="L167" s="6" t="s">
        <v>25</v>
      </c>
      <c r="M167" s="13">
        <v>30</v>
      </c>
      <c r="N167" s="13">
        <v>61</v>
      </c>
      <c r="O167" s="13">
        <v>0</v>
      </c>
      <c r="Q167" s="7">
        <f t="shared" si="0"/>
        <v>0.32967032967032966</v>
      </c>
      <c r="R167" s="7">
        <f t="shared" si="1"/>
        <v>0.67032967032967028</v>
      </c>
      <c r="S167" s="7">
        <f t="shared" si="2"/>
        <v>0</v>
      </c>
    </row>
    <row r="168" spans="1:19" ht="16" x14ac:dyDescent="0.2">
      <c r="A168" s="4">
        <v>187827</v>
      </c>
      <c r="B168" s="5" t="s">
        <v>535</v>
      </c>
      <c r="C168" s="5" t="s">
        <v>352</v>
      </c>
      <c r="D168" s="5"/>
      <c r="E168" s="5"/>
      <c r="F168" s="5" t="s">
        <v>47</v>
      </c>
      <c r="G168" s="5" t="s">
        <v>536</v>
      </c>
      <c r="H168" s="4">
        <v>13</v>
      </c>
      <c r="I168" s="4">
        <v>9</v>
      </c>
      <c r="J168" s="4">
        <v>2018</v>
      </c>
      <c r="K168" s="5" t="s">
        <v>296</v>
      </c>
      <c r="L168" s="6" t="s">
        <v>25</v>
      </c>
      <c r="M168" s="13">
        <v>0</v>
      </c>
      <c r="N168" s="13">
        <v>0</v>
      </c>
      <c r="O168" s="13">
        <v>0</v>
      </c>
      <c r="Q168" s="7" t="e">
        <f t="shared" si="0"/>
        <v>#DIV/0!</v>
      </c>
      <c r="R168" s="7" t="e">
        <f t="shared" si="1"/>
        <v>#DIV/0!</v>
      </c>
      <c r="S168" s="7" t="e">
        <f t="shared" si="2"/>
        <v>#DIV/0!</v>
      </c>
    </row>
    <row r="169" spans="1:19" ht="16" x14ac:dyDescent="0.2">
      <c r="A169" s="4">
        <v>188242</v>
      </c>
      <c r="B169" s="5" t="s">
        <v>537</v>
      </c>
      <c r="C169" s="5" t="s">
        <v>352</v>
      </c>
      <c r="D169" s="5"/>
      <c r="E169" s="5"/>
      <c r="F169" s="5" t="s">
        <v>538</v>
      </c>
      <c r="G169" s="5" t="s">
        <v>539</v>
      </c>
      <c r="H169" s="4">
        <v>26</v>
      </c>
      <c r="I169" s="4">
        <v>6</v>
      </c>
      <c r="J169" s="4">
        <v>2019</v>
      </c>
      <c r="K169" s="5" t="s">
        <v>501</v>
      </c>
      <c r="L169" s="6" t="s">
        <v>25</v>
      </c>
      <c r="M169" s="13">
        <v>39</v>
      </c>
      <c r="N169" s="13">
        <v>33</v>
      </c>
      <c r="O169" s="13">
        <v>0</v>
      </c>
      <c r="Q169" s="7">
        <f t="shared" si="0"/>
        <v>0.54166666666666663</v>
      </c>
      <c r="R169" s="7">
        <f t="shared" si="1"/>
        <v>0.45833333333333331</v>
      </c>
      <c r="S169" s="7">
        <f t="shared" si="2"/>
        <v>0</v>
      </c>
    </row>
    <row r="170" spans="1:19" ht="16" x14ac:dyDescent="0.2">
      <c r="A170" s="4">
        <v>188447</v>
      </c>
      <c r="B170" s="5" t="s">
        <v>540</v>
      </c>
      <c r="C170" s="5" t="s">
        <v>352</v>
      </c>
      <c r="D170" s="5"/>
      <c r="E170" s="5"/>
      <c r="F170" s="5" t="s">
        <v>47</v>
      </c>
      <c r="G170" s="5" t="s">
        <v>541</v>
      </c>
      <c r="H170" s="4">
        <v>9</v>
      </c>
      <c r="I170" s="4">
        <v>7</v>
      </c>
      <c r="J170" s="4">
        <v>2020</v>
      </c>
      <c r="K170" s="5" t="s">
        <v>504</v>
      </c>
      <c r="L170" s="6" t="s">
        <v>25</v>
      </c>
      <c r="M170" s="13">
        <v>0</v>
      </c>
      <c r="N170" s="13">
        <v>0</v>
      </c>
      <c r="O170" s="13">
        <v>0</v>
      </c>
      <c r="Q170" s="7" t="e">
        <f t="shared" si="0"/>
        <v>#DIV/0!</v>
      </c>
      <c r="R170" s="7" t="e">
        <f t="shared" si="1"/>
        <v>#DIV/0!</v>
      </c>
      <c r="S170" s="7" t="e">
        <f t="shared" si="2"/>
        <v>#DIV/0!</v>
      </c>
    </row>
    <row r="171" spans="1:19" ht="16" x14ac:dyDescent="0.2">
      <c r="A171" s="4">
        <v>190639</v>
      </c>
      <c r="B171" s="5" t="s">
        <v>542</v>
      </c>
      <c r="C171" s="5" t="s">
        <v>352</v>
      </c>
      <c r="D171" s="5"/>
      <c r="E171" s="5"/>
      <c r="F171" s="5" t="s">
        <v>47</v>
      </c>
      <c r="G171" s="5" t="s">
        <v>543</v>
      </c>
      <c r="H171" s="4">
        <v>23</v>
      </c>
      <c r="I171" s="4">
        <v>9</v>
      </c>
      <c r="J171" s="4">
        <v>2020</v>
      </c>
      <c r="K171" s="5" t="s">
        <v>544</v>
      </c>
      <c r="L171" s="6" t="s">
        <v>25</v>
      </c>
      <c r="M171" s="13">
        <v>0</v>
      </c>
      <c r="N171" s="13">
        <v>0</v>
      </c>
      <c r="O171" s="13">
        <v>0</v>
      </c>
      <c r="Q171" s="7" t="e">
        <f t="shared" si="0"/>
        <v>#DIV/0!</v>
      </c>
      <c r="R171" s="7" t="e">
        <f t="shared" si="1"/>
        <v>#DIV/0!</v>
      </c>
      <c r="S171" s="7" t="e">
        <f t="shared" si="2"/>
        <v>#DIV/0!</v>
      </c>
    </row>
    <row r="172" spans="1:19" ht="16" x14ac:dyDescent="0.2">
      <c r="A172" s="5">
        <v>195738</v>
      </c>
      <c r="B172" s="5"/>
      <c r="C172" s="5" t="s">
        <v>352</v>
      </c>
      <c r="D172" s="5"/>
      <c r="E172" s="5"/>
      <c r="F172" s="5" t="s">
        <v>273</v>
      </c>
      <c r="G172" s="5" t="s">
        <v>545</v>
      </c>
      <c r="H172" s="4">
        <v>23</v>
      </c>
      <c r="I172" s="4">
        <v>10</v>
      </c>
      <c r="J172" s="4">
        <v>2025</v>
      </c>
      <c r="K172" s="5" t="s">
        <v>546</v>
      </c>
      <c r="L172" s="6" t="s">
        <v>25</v>
      </c>
      <c r="M172" s="13">
        <v>0</v>
      </c>
      <c r="N172" s="13">
        <v>0</v>
      </c>
      <c r="O172" s="13">
        <v>0</v>
      </c>
      <c r="Q172" s="7" t="e">
        <f t="shared" si="0"/>
        <v>#DIV/0!</v>
      </c>
      <c r="R172" s="7" t="e">
        <f t="shared" si="1"/>
        <v>#DIV/0!</v>
      </c>
      <c r="S172" s="7" t="e">
        <f t="shared" si="2"/>
        <v>#DIV/0!</v>
      </c>
    </row>
    <row r="173" spans="1:19" ht="16" x14ac:dyDescent="0.2">
      <c r="A173" s="5"/>
      <c r="B173" s="5"/>
      <c r="C173" s="8" t="s">
        <v>352</v>
      </c>
      <c r="D173" s="5"/>
      <c r="E173" s="5"/>
      <c r="F173" s="5" t="s">
        <v>47</v>
      </c>
      <c r="G173" s="5" t="s">
        <v>547</v>
      </c>
      <c r="H173" s="4">
        <v>6</v>
      </c>
      <c r="I173" s="4">
        <v>11</v>
      </c>
      <c r="J173" s="4">
        <v>2019</v>
      </c>
      <c r="K173" s="5" t="s">
        <v>504</v>
      </c>
      <c r="L173" s="6" t="s">
        <v>116</v>
      </c>
      <c r="Q173" s="7" t="e">
        <f t="shared" si="0"/>
        <v>#DIV/0!</v>
      </c>
      <c r="R173" s="7" t="e">
        <f t="shared" si="1"/>
        <v>#DIV/0!</v>
      </c>
      <c r="S173" s="7" t="e">
        <f t="shared" si="2"/>
        <v>#DIV/0!</v>
      </c>
    </row>
    <row r="174" spans="1:19" ht="16" x14ac:dyDescent="0.2">
      <c r="A174" s="4">
        <v>27961</v>
      </c>
      <c r="B174" s="5" t="s">
        <v>548</v>
      </c>
      <c r="C174" s="5" t="s">
        <v>549</v>
      </c>
      <c r="D174" s="5"/>
      <c r="E174" s="5"/>
      <c r="F174" s="5" t="s">
        <v>550</v>
      </c>
      <c r="G174" s="5" t="s">
        <v>167</v>
      </c>
      <c r="H174" s="4">
        <v>9</v>
      </c>
      <c r="I174" s="4">
        <v>7</v>
      </c>
      <c r="J174" s="4">
        <v>1969</v>
      </c>
      <c r="K174" s="5" t="s">
        <v>551</v>
      </c>
      <c r="L174" s="6" t="s">
        <v>25</v>
      </c>
      <c r="M174" s="13">
        <v>1</v>
      </c>
      <c r="N174" s="13">
        <v>52</v>
      </c>
      <c r="O174" s="13">
        <v>3</v>
      </c>
      <c r="Q174" s="7">
        <f t="shared" si="0"/>
        <v>1.7857142857142856E-2</v>
      </c>
      <c r="R174" s="7">
        <f t="shared" si="1"/>
        <v>0.9285714285714286</v>
      </c>
      <c r="S174" s="7">
        <f t="shared" si="2"/>
        <v>5.3571428571428568E-2</v>
      </c>
    </row>
    <row r="175" spans="1:19" ht="16" x14ac:dyDescent="0.2">
      <c r="A175" s="4">
        <v>36817</v>
      </c>
      <c r="B175" s="5" t="s">
        <v>552</v>
      </c>
      <c r="C175" s="5" t="s">
        <v>549</v>
      </c>
      <c r="D175" s="5"/>
      <c r="E175" s="5"/>
      <c r="F175" s="5" t="s">
        <v>180</v>
      </c>
      <c r="G175" s="4">
        <v>7918</v>
      </c>
      <c r="H175" s="4">
        <v>6</v>
      </c>
      <c r="I175" s="4">
        <v>7</v>
      </c>
      <c r="J175" s="4">
        <v>1979</v>
      </c>
      <c r="K175" s="5" t="s">
        <v>553</v>
      </c>
      <c r="L175" s="6" t="s">
        <v>25</v>
      </c>
      <c r="M175" s="13">
        <v>0</v>
      </c>
      <c r="N175" s="13">
        <v>31</v>
      </c>
      <c r="O175" s="13">
        <v>12</v>
      </c>
      <c r="Q175" s="7">
        <f t="shared" si="0"/>
        <v>0</v>
      </c>
      <c r="R175" s="7">
        <f t="shared" si="1"/>
        <v>0.72093023255813948</v>
      </c>
      <c r="S175" s="7">
        <f t="shared" si="2"/>
        <v>0.27906976744186046</v>
      </c>
    </row>
    <row r="176" spans="1:19" ht="16" x14ac:dyDescent="0.2">
      <c r="A176" s="4">
        <v>63399</v>
      </c>
      <c r="B176" s="5" t="s">
        <v>554</v>
      </c>
      <c r="C176" s="5" t="s">
        <v>549</v>
      </c>
      <c r="D176" s="5"/>
      <c r="E176" s="5"/>
      <c r="F176" s="5" t="s">
        <v>22</v>
      </c>
      <c r="G176" s="5" t="s">
        <v>555</v>
      </c>
      <c r="H176" s="4">
        <v>23</v>
      </c>
      <c r="I176" s="4">
        <v>6</v>
      </c>
      <c r="J176" s="4">
        <v>1986</v>
      </c>
      <c r="K176" s="5" t="s">
        <v>556</v>
      </c>
      <c r="L176" s="6" t="s">
        <v>25</v>
      </c>
      <c r="M176" s="13">
        <v>1</v>
      </c>
      <c r="N176" s="13">
        <v>13</v>
      </c>
      <c r="O176" s="13">
        <v>5</v>
      </c>
      <c r="Q176" s="7">
        <f t="shared" si="0"/>
        <v>5.2631578947368418E-2</v>
      </c>
      <c r="R176" s="7">
        <f t="shared" si="1"/>
        <v>0.68421052631578949</v>
      </c>
      <c r="S176" s="7">
        <f t="shared" si="2"/>
        <v>0.26315789473684209</v>
      </c>
    </row>
    <row r="177" spans="1:19" ht="16" x14ac:dyDescent="0.2">
      <c r="A177" s="4">
        <v>93112</v>
      </c>
      <c r="B177" s="5" t="s">
        <v>557</v>
      </c>
      <c r="C177" s="5" t="s">
        <v>549</v>
      </c>
      <c r="D177" s="5"/>
      <c r="E177" s="5"/>
      <c r="F177" s="5" t="s">
        <v>31</v>
      </c>
      <c r="G177" s="5" t="s">
        <v>558</v>
      </c>
      <c r="H177" s="4">
        <v>17</v>
      </c>
      <c r="I177" s="4">
        <v>7</v>
      </c>
      <c r="J177" s="4">
        <v>1990</v>
      </c>
      <c r="K177" s="5" t="s">
        <v>559</v>
      </c>
      <c r="L177" s="6" t="s">
        <v>25</v>
      </c>
      <c r="M177" s="13">
        <v>0</v>
      </c>
      <c r="N177" s="13">
        <v>0</v>
      </c>
      <c r="O177" s="13">
        <v>46</v>
      </c>
      <c r="Q177" s="7">
        <f t="shared" si="0"/>
        <v>0</v>
      </c>
      <c r="R177" s="7">
        <f t="shared" si="1"/>
        <v>0</v>
      </c>
      <c r="S177" s="7">
        <f t="shared" si="2"/>
        <v>1</v>
      </c>
    </row>
    <row r="178" spans="1:19" ht="16" x14ac:dyDescent="0.2">
      <c r="A178" s="4">
        <v>93263</v>
      </c>
      <c r="B178" s="5" t="s">
        <v>560</v>
      </c>
      <c r="C178" s="5" t="s">
        <v>549</v>
      </c>
      <c r="D178" s="5"/>
      <c r="E178" s="5"/>
      <c r="F178" s="5" t="s">
        <v>31</v>
      </c>
      <c r="G178" s="5" t="s">
        <v>561</v>
      </c>
      <c r="H178" s="4">
        <v>17</v>
      </c>
      <c r="I178" s="4">
        <v>7</v>
      </c>
      <c r="J178" s="4">
        <v>1990</v>
      </c>
      <c r="K178" s="5" t="s">
        <v>562</v>
      </c>
      <c r="L178" s="6" t="s">
        <v>25</v>
      </c>
      <c r="M178" s="13">
        <v>0</v>
      </c>
      <c r="N178" s="13">
        <v>0</v>
      </c>
      <c r="O178" s="13">
        <v>54</v>
      </c>
      <c r="Q178" s="7">
        <f t="shared" si="0"/>
        <v>0</v>
      </c>
      <c r="R178" s="7">
        <f t="shared" si="1"/>
        <v>0</v>
      </c>
      <c r="S178" s="7">
        <f t="shared" si="2"/>
        <v>1</v>
      </c>
    </row>
    <row r="179" spans="1:19" ht="16" x14ac:dyDescent="0.2">
      <c r="A179" s="4">
        <v>155786</v>
      </c>
      <c r="B179" s="5" t="s">
        <v>563</v>
      </c>
      <c r="C179" s="5" t="s">
        <v>549</v>
      </c>
      <c r="D179" s="5"/>
      <c r="E179" s="5"/>
      <c r="F179" s="5" t="s">
        <v>99</v>
      </c>
      <c r="G179" s="4">
        <v>9</v>
      </c>
      <c r="H179" s="4">
        <v>27</v>
      </c>
      <c r="I179" s="4">
        <v>6</v>
      </c>
      <c r="J179" s="4">
        <v>2003</v>
      </c>
      <c r="K179" s="5" t="s">
        <v>564</v>
      </c>
      <c r="L179" s="6" t="s">
        <v>25</v>
      </c>
      <c r="M179" s="13">
        <v>109</v>
      </c>
      <c r="N179" s="13">
        <v>50</v>
      </c>
      <c r="O179" s="13">
        <v>0</v>
      </c>
      <c r="Q179" s="7">
        <f t="shared" si="0"/>
        <v>0.68553459119496851</v>
      </c>
      <c r="R179" s="7">
        <f t="shared" si="1"/>
        <v>0.31446540880503143</v>
      </c>
      <c r="S179" s="7">
        <f t="shared" si="2"/>
        <v>0</v>
      </c>
    </row>
    <row r="180" spans="1:19" ht="16" x14ac:dyDescent="0.2">
      <c r="A180" s="4">
        <v>155787</v>
      </c>
      <c r="B180" s="5" t="s">
        <v>565</v>
      </c>
      <c r="C180" s="5" t="s">
        <v>549</v>
      </c>
      <c r="D180" s="5"/>
      <c r="E180" s="5"/>
      <c r="F180" s="5" t="s">
        <v>99</v>
      </c>
      <c r="G180" s="4">
        <v>10</v>
      </c>
      <c r="H180" s="4">
        <v>30</v>
      </c>
      <c r="I180" s="4">
        <v>6</v>
      </c>
      <c r="J180" s="4">
        <v>2003</v>
      </c>
      <c r="K180" s="5" t="s">
        <v>564</v>
      </c>
      <c r="L180" s="6" t="s">
        <v>25</v>
      </c>
      <c r="M180" s="13">
        <v>37</v>
      </c>
      <c r="N180" s="13">
        <v>149</v>
      </c>
      <c r="O180" s="13">
        <v>0</v>
      </c>
      <c r="Q180" s="7">
        <f t="shared" si="0"/>
        <v>0.19892473118279569</v>
      </c>
      <c r="R180" s="7">
        <f t="shared" si="1"/>
        <v>0.80107526881720426</v>
      </c>
      <c r="S180" s="7">
        <f t="shared" si="2"/>
        <v>0</v>
      </c>
    </row>
    <row r="181" spans="1:19" ht="16" x14ac:dyDescent="0.2">
      <c r="A181" s="4">
        <v>187826</v>
      </c>
      <c r="B181" s="5" t="s">
        <v>566</v>
      </c>
      <c r="C181" s="5" t="s">
        <v>549</v>
      </c>
      <c r="D181" s="5"/>
      <c r="E181" s="5"/>
      <c r="F181" s="5" t="s">
        <v>47</v>
      </c>
      <c r="G181" s="5" t="s">
        <v>567</v>
      </c>
      <c r="H181" s="4">
        <v>13</v>
      </c>
      <c r="I181" s="4">
        <v>9</v>
      </c>
      <c r="J181" s="4">
        <v>2018</v>
      </c>
      <c r="K181" s="5" t="s">
        <v>568</v>
      </c>
      <c r="L181" s="6" t="s">
        <v>25</v>
      </c>
      <c r="M181" s="13">
        <v>0</v>
      </c>
      <c r="N181" s="13">
        <v>0</v>
      </c>
      <c r="O181" s="13">
        <v>0</v>
      </c>
      <c r="Q181" s="7" t="e">
        <f t="shared" si="0"/>
        <v>#DIV/0!</v>
      </c>
      <c r="R181" s="7" t="e">
        <f t="shared" si="1"/>
        <v>#DIV/0!</v>
      </c>
      <c r="S181" s="7" t="e">
        <f t="shared" si="2"/>
        <v>#DIV/0!</v>
      </c>
    </row>
    <row r="182" spans="1:19" ht="16" x14ac:dyDescent="0.2">
      <c r="A182" s="4">
        <v>187833</v>
      </c>
      <c r="B182" s="5" t="s">
        <v>569</v>
      </c>
      <c r="C182" s="5" t="s">
        <v>549</v>
      </c>
      <c r="D182" s="5"/>
      <c r="E182" s="5"/>
      <c r="F182" s="5" t="s">
        <v>47</v>
      </c>
      <c r="G182" s="5" t="s">
        <v>570</v>
      </c>
      <c r="H182" s="4">
        <v>2</v>
      </c>
      <c r="I182" s="4">
        <v>7</v>
      </c>
      <c r="J182" s="4">
        <v>2018</v>
      </c>
      <c r="K182" s="5" t="s">
        <v>571</v>
      </c>
      <c r="L182" s="6" t="s">
        <v>25</v>
      </c>
      <c r="M182" s="13">
        <v>0</v>
      </c>
      <c r="N182" s="13">
        <v>0</v>
      </c>
      <c r="O182" s="13">
        <v>0</v>
      </c>
      <c r="Q182" s="7" t="e">
        <f t="shared" si="0"/>
        <v>#DIV/0!</v>
      </c>
      <c r="R182" s="7" t="e">
        <f t="shared" si="1"/>
        <v>#DIV/0!</v>
      </c>
      <c r="S182" s="7" t="e">
        <f t="shared" si="2"/>
        <v>#DIV/0!</v>
      </c>
    </row>
    <row r="183" spans="1:19" ht="16" x14ac:dyDescent="0.2">
      <c r="A183" s="4">
        <v>187834</v>
      </c>
      <c r="B183" s="5" t="s">
        <v>572</v>
      </c>
      <c r="C183" s="5" t="s">
        <v>549</v>
      </c>
      <c r="D183" s="5"/>
      <c r="E183" s="5"/>
      <c r="F183" s="5" t="s">
        <v>47</v>
      </c>
      <c r="G183" s="5" t="s">
        <v>573</v>
      </c>
      <c r="H183" s="4">
        <v>3</v>
      </c>
      <c r="I183" s="4">
        <v>8</v>
      </c>
      <c r="J183" s="4">
        <v>2018</v>
      </c>
      <c r="K183" s="5" t="s">
        <v>501</v>
      </c>
      <c r="L183" s="6" t="s">
        <v>25</v>
      </c>
      <c r="M183" s="13">
        <v>0</v>
      </c>
      <c r="N183" s="13">
        <v>0</v>
      </c>
      <c r="O183" s="13">
        <v>23</v>
      </c>
      <c r="Q183" s="7">
        <f t="shared" si="0"/>
        <v>0</v>
      </c>
      <c r="R183" s="7">
        <f t="shared" si="1"/>
        <v>0</v>
      </c>
      <c r="S183" s="7">
        <f t="shared" si="2"/>
        <v>1</v>
      </c>
    </row>
    <row r="184" spans="1:19" ht="16" x14ac:dyDescent="0.2">
      <c r="A184" s="4">
        <v>187842</v>
      </c>
      <c r="B184" s="5" t="s">
        <v>574</v>
      </c>
      <c r="C184" s="5" t="s">
        <v>549</v>
      </c>
      <c r="D184" s="5"/>
      <c r="E184" s="5"/>
      <c r="F184" s="5" t="s">
        <v>47</v>
      </c>
      <c r="G184" s="5" t="s">
        <v>575</v>
      </c>
      <c r="H184" s="4">
        <v>28</v>
      </c>
      <c r="I184" s="4">
        <v>8</v>
      </c>
      <c r="J184" s="4">
        <v>2018</v>
      </c>
      <c r="K184" s="5" t="s">
        <v>576</v>
      </c>
      <c r="L184" s="6" t="s">
        <v>25</v>
      </c>
      <c r="M184" s="13">
        <v>0</v>
      </c>
      <c r="N184" s="13">
        <v>0</v>
      </c>
      <c r="O184" s="13">
        <v>0</v>
      </c>
      <c r="Q184" s="7" t="e">
        <f t="shared" si="0"/>
        <v>#DIV/0!</v>
      </c>
      <c r="R184" s="7" t="e">
        <f t="shared" si="1"/>
        <v>#DIV/0!</v>
      </c>
      <c r="S184" s="7" t="e">
        <f t="shared" si="2"/>
        <v>#DIV/0!</v>
      </c>
    </row>
    <row r="185" spans="1:19" ht="16" x14ac:dyDescent="0.2">
      <c r="A185" s="5">
        <v>195720</v>
      </c>
      <c r="B185" s="5"/>
      <c r="C185" s="5" t="s">
        <v>549</v>
      </c>
      <c r="D185" s="5"/>
      <c r="E185" s="5"/>
      <c r="F185" s="5" t="s">
        <v>273</v>
      </c>
      <c r="G185" s="5" t="s">
        <v>577</v>
      </c>
      <c r="H185" s="4">
        <v>23</v>
      </c>
      <c r="I185" s="4">
        <v>10</v>
      </c>
      <c r="J185" s="4">
        <v>2025</v>
      </c>
      <c r="K185" s="5" t="s">
        <v>578</v>
      </c>
      <c r="L185" s="6" t="s">
        <v>25</v>
      </c>
      <c r="M185" s="13">
        <v>0</v>
      </c>
      <c r="N185" s="13">
        <v>0</v>
      </c>
      <c r="O185" s="13">
        <v>4</v>
      </c>
      <c r="Q185" s="7">
        <f t="shared" si="0"/>
        <v>0</v>
      </c>
      <c r="R185" s="7">
        <f t="shared" si="1"/>
        <v>0</v>
      </c>
      <c r="S185" s="7">
        <f t="shared" si="2"/>
        <v>1</v>
      </c>
    </row>
    <row r="186" spans="1:19" ht="16" x14ac:dyDescent="0.2">
      <c r="A186" s="4">
        <v>92541</v>
      </c>
      <c r="B186" s="5" t="s">
        <v>579</v>
      </c>
      <c r="C186" s="5" t="s">
        <v>580</v>
      </c>
      <c r="D186" s="5"/>
      <c r="E186" s="5"/>
      <c r="F186" s="5" t="s">
        <v>176</v>
      </c>
      <c r="G186" s="5" t="s">
        <v>581</v>
      </c>
      <c r="H186" s="4">
        <v>19</v>
      </c>
      <c r="I186" s="4">
        <v>6</v>
      </c>
      <c r="J186" s="4">
        <v>1990</v>
      </c>
      <c r="K186" s="5" t="s">
        <v>582</v>
      </c>
      <c r="L186" s="6" t="s">
        <v>25</v>
      </c>
      <c r="M186" s="13">
        <v>1</v>
      </c>
      <c r="N186" s="13">
        <v>62</v>
      </c>
      <c r="O186" s="13">
        <v>7</v>
      </c>
      <c r="Q186" s="7">
        <f t="shared" si="0"/>
        <v>1.4285714285714285E-2</v>
      </c>
      <c r="R186" s="7">
        <f t="shared" si="1"/>
        <v>0.88571428571428568</v>
      </c>
      <c r="S186" s="7">
        <f t="shared" si="2"/>
        <v>0.1</v>
      </c>
    </row>
    <row r="187" spans="1:19" ht="16" x14ac:dyDescent="0.2">
      <c r="A187" s="4">
        <v>92613</v>
      </c>
      <c r="B187" s="5" t="s">
        <v>583</v>
      </c>
      <c r="C187" s="5" t="s">
        <v>580</v>
      </c>
      <c r="D187" s="5"/>
      <c r="E187" s="5"/>
      <c r="F187" s="5" t="s">
        <v>176</v>
      </c>
      <c r="G187" s="5" t="s">
        <v>584</v>
      </c>
      <c r="H187" s="4">
        <v>19</v>
      </c>
      <c r="I187" s="4">
        <v>6</v>
      </c>
      <c r="J187" s="4">
        <v>1990</v>
      </c>
      <c r="K187" s="5" t="s">
        <v>585</v>
      </c>
      <c r="L187" s="6" t="s">
        <v>25</v>
      </c>
      <c r="M187" s="13">
        <v>28</v>
      </c>
      <c r="N187" s="13">
        <v>24</v>
      </c>
      <c r="O187" s="13">
        <v>0</v>
      </c>
      <c r="Q187" s="7">
        <f t="shared" si="0"/>
        <v>0.53846153846153844</v>
      </c>
      <c r="R187" s="7">
        <f t="shared" si="1"/>
        <v>0.46153846153846156</v>
      </c>
      <c r="S187" s="7">
        <f t="shared" si="2"/>
        <v>0</v>
      </c>
    </row>
    <row r="188" spans="1:19" ht="16" x14ac:dyDescent="0.2">
      <c r="A188" s="4">
        <v>119776</v>
      </c>
      <c r="B188" s="5" t="s">
        <v>586</v>
      </c>
      <c r="C188" s="5" t="s">
        <v>580</v>
      </c>
      <c r="D188" s="5"/>
      <c r="E188" s="5"/>
      <c r="F188" s="5" t="s">
        <v>125</v>
      </c>
      <c r="G188" s="5" t="s">
        <v>587</v>
      </c>
      <c r="H188" s="4">
        <v>6</v>
      </c>
      <c r="I188" s="4">
        <v>6</v>
      </c>
      <c r="J188" s="4">
        <v>1994</v>
      </c>
      <c r="K188" s="5" t="s">
        <v>588</v>
      </c>
      <c r="L188" s="6" t="s">
        <v>25</v>
      </c>
      <c r="M188" s="13">
        <v>11</v>
      </c>
      <c r="N188" s="13">
        <v>12</v>
      </c>
      <c r="O188" s="13">
        <v>0</v>
      </c>
      <c r="Q188" s="7">
        <f t="shared" si="0"/>
        <v>0.47826086956521741</v>
      </c>
      <c r="R188" s="7">
        <f t="shared" si="1"/>
        <v>0.52173913043478259</v>
      </c>
      <c r="S188" s="7">
        <f t="shared" si="2"/>
        <v>0</v>
      </c>
    </row>
    <row r="189" spans="1:19" ht="16" x14ac:dyDescent="0.2">
      <c r="A189" s="4">
        <v>120843</v>
      </c>
      <c r="B189" s="5" t="s">
        <v>589</v>
      </c>
      <c r="C189" s="5" t="s">
        <v>580</v>
      </c>
      <c r="D189" s="5"/>
      <c r="E189" s="5"/>
      <c r="F189" s="5" t="s">
        <v>31</v>
      </c>
      <c r="G189" s="5" t="s">
        <v>590</v>
      </c>
      <c r="H189" s="4">
        <v>16</v>
      </c>
      <c r="I189" s="4">
        <v>8</v>
      </c>
      <c r="J189" s="4">
        <v>1994</v>
      </c>
      <c r="K189" s="5" t="s">
        <v>588</v>
      </c>
      <c r="L189" s="6" t="s">
        <v>25</v>
      </c>
      <c r="M189" s="13">
        <v>0</v>
      </c>
      <c r="N189" s="13">
        <v>0</v>
      </c>
      <c r="O189" s="13">
        <v>36</v>
      </c>
      <c r="Q189" s="7">
        <f t="shared" si="0"/>
        <v>0</v>
      </c>
      <c r="R189" s="7">
        <f t="shared" si="1"/>
        <v>0</v>
      </c>
      <c r="S189" s="7">
        <f t="shared" si="2"/>
        <v>1</v>
      </c>
    </row>
    <row r="190" spans="1:19" ht="16" x14ac:dyDescent="0.2">
      <c r="A190" s="4">
        <v>122245</v>
      </c>
      <c r="B190" s="5" t="s">
        <v>591</v>
      </c>
      <c r="C190" s="5" t="s">
        <v>580</v>
      </c>
      <c r="D190" s="5"/>
      <c r="E190" s="5"/>
      <c r="F190" s="5" t="s">
        <v>119</v>
      </c>
      <c r="G190" s="5" t="s">
        <v>592</v>
      </c>
      <c r="H190" s="4">
        <v>30</v>
      </c>
      <c r="I190" s="4">
        <v>8</v>
      </c>
      <c r="J190" s="4">
        <v>1994</v>
      </c>
      <c r="K190" s="5" t="s">
        <v>593</v>
      </c>
      <c r="L190" s="6" t="s">
        <v>25</v>
      </c>
      <c r="M190" s="13">
        <v>0</v>
      </c>
      <c r="N190" s="13">
        <v>0</v>
      </c>
      <c r="O190" s="13">
        <v>49</v>
      </c>
      <c r="Q190" s="7">
        <f t="shared" si="0"/>
        <v>0</v>
      </c>
      <c r="R190" s="7">
        <f t="shared" si="1"/>
        <v>0</v>
      </c>
      <c r="S190" s="7">
        <f t="shared" si="2"/>
        <v>1</v>
      </c>
    </row>
    <row r="191" spans="1:19" ht="16" x14ac:dyDescent="0.2">
      <c r="A191" s="4">
        <v>172717</v>
      </c>
      <c r="B191" s="5" t="s">
        <v>594</v>
      </c>
      <c r="C191" s="5" t="s">
        <v>595</v>
      </c>
      <c r="D191" s="5"/>
      <c r="E191" s="5"/>
      <c r="F191" s="5" t="s">
        <v>35</v>
      </c>
      <c r="G191" s="5" t="s">
        <v>596</v>
      </c>
      <c r="H191" s="4">
        <v>25</v>
      </c>
      <c r="I191" s="4">
        <v>8</v>
      </c>
      <c r="J191" s="4">
        <v>2011</v>
      </c>
      <c r="K191" s="5" t="s">
        <v>597</v>
      </c>
      <c r="L191" s="6" t="s">
        <v>25</v>
      </c>
      <c r="M191" s="13">
        <v>0</v>
      </c>
      <c r="N191" s="13">
        <v>0</v>
      </c>
      <c r="O191" s="13">
        <v>4</v>
      </c>
      <c r="Q191" s="7">
        <f t="shared" si="0"/>
        <v>0</v>
      </c>
      <c r="R191" s="7">
        <f t="shared" si="1"/>
        <v>0</v>
      </c>
      <c r="S191" s="7">
        <f t="shared" si="2"/>
        <v>1</v>
      </c>
    </row>
    <row r="192" spans="1:19" ht="16" x14ac:dyDescent="0.2">
      <c r="A192" s="4">
        <v>187837</v>
      </c>
      <c r="B192" s="5" t="s">
        <v>598</v>
      </c>
      <c r="C192" s="5" t="s">
        <v>595</v>
      </c>
      <c r="D192" s="5"/>
      <c r="E192" s="5"/>
      <c r="F192" s="5" t="s">
        <v>47</v>
      </c>
      <c r="G192" s="5" t="s">
        <v>599</v>
      </c>
      <c r="H192" s="4">
        <v>16</v>
      </c>
      <c r="I192" s="4">
        <v>8</v>
      </c>
      <c r="J192" s="4">
        <v>2018</v>
      </c>
      <c r="K192" s="5" t="s">
        <v>597</v>
      </c>
      <c r="L192" s="6" t="s">
        <v>25</v>
      </c>
      <c r="M192" s="13">
        <v>0</v>
      </c>
      <c r="N192" s="13">
        <v>0</v>
      </c>
      <c r="O192" s="13">
        <v>8</v>
      </c>
      <c r="Q192" s="7">
        <f t="shared" si="0"/>
        <v>0</v>
      </c>
      <c r="R192" s="7">
        <f t="shared" si="1"/>
        <v>0</v>
      </c>
      <c r="S192" s="7">
        <f t="shared" si="2"/>
        <v>1</v>
      </c>
    </row>
    <row r="193" spans="1:19" ht="16" x14ac:dyDescent="0.2">
      <c r="A193" s="4">
        <v>188236</v>
      </c>
      <c r="B193" s="5" t="s">
        <v>600</v>
      </c>
      <c r="C193" s="5" t="s">
        <v>595</v>
      </c>
      <c r="D193" s="5"/>
      <c r="E193" s="5"/>
      <c r="F193" s="5" t="s">
        <v>510</v>
      </c>
      <c r="G193" s="5" t="s">
        <v>601</v>
      </c>
      <c r="H193" s="4">
        <v>3</v>
      </c>
      <c r="I193" s="4">
        <v>7</v>
      </c>
      <c r="J193" s="4">
        <v>2019</v>
      </c>
      <c r="K193" s="5" t="s">
        <v>602</v>
      </c>
      <c r="L193" s="6" t="s">
        <v>25</v>
      </c>
      <c r="M193" s="13">
        <v>0</v>
      </c>
      <c r="N193" s="13">
        <v>0</v>
      </c>
      <c r="O193" s="13">
        <v>0</v>
      </c>
      <c r="Q193" s="7" t="e">
        <f t="shared" si="0"/>
        <v>#DIV/0!</v>
      </c>
      <c r="R193" s="7" t="e">
        <f t="shared" si="1"/>
        <v>#DIV/0!</v>
      </c>
      <c r="S193" s="7" t="e">
        <f t="shared" si="2"/>
        <v>#DIV/0!</v>
      </c>
    </row>
    <row r="194" spans="1:19" ht="16" x14ac:dyDescent="0.2">
      <c r="A194" s="5">
        <v>195743</v>
      </c>
      <c r="B194" s="5"/>
      <c r="C194" s="5" t="s">
        <v>595</v>
      </c>
      <c r="D194" s="5"/>
      <c r="E194" s="5"/>
      <c r="F194" s="5" t="s">
        <v>273</v>
      </c>
      <c r="G194" s="5" t="s">
        <v>603</v>
      </c>
      <c r="H194" s="4">
        <v>23</v>
      </c>
      <c r="I194" s="4">
        <v>10</v>
      </c>
      <c r="J194" s="4">
        <v>2025</v>
      </c>
      <c r="K194" s="5" t="s">
        <v>604</v>
      </c>
      <c r="L194" s="6" t="s">
        <v>25</v>
      </c>
      <c r="M194" s="13">
        <v>0</v>
      </c>
      <c r="N194" s="13">
        <v>0</v>
      </c>
      <c r="O194" s="13">
        <v>3</v>
      </c>
      <c r="Q194" s="7">
        <f t="shared" si="0"/>
        <v>0</v>
      </c>
      <c r="R194" s="7">
        <f t="shared" si="1"/>
        <v>0</v>
      </c>
      <c r="S194" s="7">
        <f t="shared" si="2"/>
        <v>1</v>
      </c>
    </row>
    <row r="195" spans="1:19" ht="16" x14ac:dyDescent="0.2">
      <c r="A195" s="5"/>
      <c r="B195" s="5"/>
      <c r="C195" s="8" t="s">
        <v>595</v>
      </c>
      <c r="D195" s="5"/>
      <c r="E195" s="5"/>
      <c r="F195" s="5" t="s">
        <v>47</v>
      </c>
      <c r="G195" s="5" t="s">
        <v>605</v>
      </c>
      <c r="H195" s="4">
        <v>28</v>
      </c>
      <c r="I195" s="4">
        <v>9</v>
      </c>
      <c r="J195" s="4">
        <v>2020</v>
      </c>
      <c r="K195" s="5" t="s">
        <v>604</v>
      </c>
      <c r="L195" s="6" t="s">
        <v>116</v>
      </c>
      <c r="Q195" s="7" t="e">
        <f t="shared" si="0"/>
        <v>#DIV/0!</v>
      </c>
      <c r="R195" s="7" t="e">
        <f t="shared" si="1"/>
        <v>#DIV/0!</v>
      </c>
      <c r="S195" s="7" t="e">
        <f t="shared" si="2"/>
        <v>#DIV/0!</v>
      </c>
    </row>
    <row r="196" spans="1:19" ht="16" x14ac:dyDescent="0.2">
      <c r="A196" s="4">
        <v>145616</v>
      </c>
      <c r="B196" s="5" t="s">
        <v>606</v>
      </c>
      <c r="C196" s="5" t="s">
        <v>607</v>
      </c>
      <c r="D196" s="5"/>
      <c r="E196" s="5"/>
      <c r="F196" s="5" t="s">
        <v>608</v>
      </c>
      <c r="G196" s="5" t="s">
        <v>609</v>
      </c>
      <c r="H196" s="4">
        <v>11</v>
      </c>
      <c r="I196" s="4">
        <v>7</v>
      </c>
      <c r="J196" s="4">
        <v>1999</v>
      </c>
      <c r="K196" s="5" t="s">
        <v>610</v>
      </c>
      <c r="L196" s="6" t="s">
        <v>25</v>
      </c>
      <c r="M196" s="13">
        <v>179</v>
      </c>
      <c r="N196" s="13">
        <v>30</v>
      </c>
      <c r="O196" s="13">
        <v>0</v>
      </c>
      <c r="Q196" s="7">
        <f t="shared" si="0"/>
        <v>0.8564593301435407</v>
      </c>
      <c r="R196" s="7">
        <f t="shared" si="1"/>
        <v>0.14354066985645933</v>
      </c>
      <c r="S196" s="7">
        <f t="shared" si="2"/>
        <v>0</v>
      </c>
    </row>
    <row r="197" spans="1:19" ht="16" x14ac:dyDescent="0.2">
      <c r="A197" s="4">
        <v>34701</v>
      </c>
      <c r="B197" s="5" t="s">
        <v>611</v>
      </c>
      <c r="C197" s="5" t="s">
        <v>612</v>
      </c>
      <c r="D197" s="5"/>
      <c r="E197" s="5"/>
      <c r="F197" s="5" t="s">
        <v>119</v>
      </c>
      <c r="G197" s="4">
        <v>4442</v>
      </c>
      <c r="H197" s="4">
        <v>6</v>
      </c>
      <c r="I197" s="4">
        <v>10</v>
      </c>
      <c r="J197" s="4">
        <v>1978</v>
      </c>
      <c r="K197" s="5" t="s">
        <v>613</v>
      </c>
      <c r="L197" s="6" t="s">
        <v>25</v>
      </c>
      <c r="M197" s="13">
        <v>0</v>
      </c>
      <c r="N197" s="13">
        <v>0</v>
      </c>
      <c r="O197" s="13">
        <v>24</v>
      </c>
      <c r="Q197" s="7">
        <f t="shared" si="0"/>
        <v>0</v>
      </c>
      <c r="R197" s="7">
        <f t="shared" si="1"/>
        <v>0</v>
      </c>
      <c r="S197" s="7">
        <f t="shared" si="2"/>
        <v>1</v>
      </c>
    </row>
    <row r="198" spans="1:19" ht="16" x14ac:dyDescent="0.2">
      <c r="A198" s="4">
        <v>74185</v>
      </c>
      <c r="B198" s="5" t="s">
        <v>614</v>
      </c>
      <c r="C198" s="5" t="s">
        <v>612</v>
      </c>
      <c r="D198" s="5"/>
      <c r="E198" s="5"/>
      <c r="F198" s="5" t="s">
        <v>22</v>
      </c>
      <c r="G198" s="5" t="s">
        <v>615</v>
      </c>
      <c r="H198" s="4">
        <v>7</v>
      </c>
      <c r="I198" s="4">
        <v>7</v>
      </c>
      <c r="J198" s="4">
        <v>1987</v>
      </c>
      <c r="K198" s="5" t="s">
        <v>616</v>
      </c>
      <c r="L198" s="6" t="s">
        <v>25</v>
      </c>
      <c r="M198" s="13">
        <v>79</v>
      </c>
      <c r="N198" s="13">
        <v>41</v>
      </c>
      <c r="O198" s="13">
        <v>2</v>
      </c>
      <c r="Q198" s="7">
        <f t="shared" si="0"/>
        <v>0.64754098360655743</v>
      </c>
      <c r="R198" s="7">
        <f t="shared" si="1"/>
        <v>0.33606557377049179</v>
      </c>
      <c r="S198" s="7">
        <f t="shared" si="2"/>
        <v>1.6393442622950821E-2</v>
      </c>
    </row>
    <row r="199" spans="1:19" ht="16" x14ac:dyDescent="0.2">
      <c r="A199" s="4">
        <v>120600</v>
      </c>
      <c r="B199" s="5" t="s">
        <v>617</v>
      </c>
      <c r="C199" s="5" t="s">
        <v>612</v>
      </c>
      <c r="D199" s="5"/>
      <c r="E199" s="5"/>
      <c r="F199" s="5" t="s">
        <v>31</v>
      </c>
      <c r="G199" s="5" t="s">
        <v>618</v>
      </c>
      <c r="H199" s="4">
        <v>16</v>
      </c>
      <c r="I199" s="4">
        <v>8</v>
      </c>
      <c r="J199" s="4">
        <v>1994</v>
      </c>
      <c r="K199" s="5" t="s">
        <v>619</v>
      </c>
      <c r="L199" s="6" t="s">
        <v>25</v>
      </c>
      <c r="M199" s="13">
        <v>0</v>
      </c>
      <c r="N199" s="13">
        <v>0</v>
      </c>
      <c r="O199" s="13">
        <v>37</v>
      </c>
      <c r="Q199" s="7">
        <f t="shared" si="0"/>
        <v>0</v>
      </c>
      <c r="R199" s="7">
        <f t="shared" si="1"/>
        <v>0</v>
      </c>
      <c r="S199" s="7">
        <f t="shared" si="2"/>
        <v>1</v>
      </c>
    </row>
    <row r="200" spans="1:19" ht="16" x14ac:dyDescent="0.2">
      <c r="A200" s="4">
        <v>122246</v>
      </c>
      <c r="B200" s="5" t="s">
        <v>620</v>
      </c>
      <c r="C200" s="5" t="s">
        <v>612</v>
      </c>
      <c r="D200" s="5"/>
      <c r="E200" s="5"/>
      <c r="F200" s="5" t="s">
        <v>119</v>
      </c>
      <c r="G200" s="5" t="s">
        <v>621</v>
      </c>
      <c r="H200" s="4">
        <v>30</v>
      </c>
      <c r="I200" s="4">
        <v>8</v>
      </c>
      <c r="J200" s="4">
        <v>1994</v>
      </c>
      <c r="K200" s="5" t="s">
        <v>622</v>
      </c>
      <c r="L200" s="6" t="s">
        <v>25</v>
      </c>
      <c r="M200" s="13">
        <v>0</v>
      </c>
      <c r="N200" s="13">
        <v>0</v>
      </c>
      <c r="O200" s="13">
        <v>32</v>
      </c>
      <c r="Q200" s="7">
        <f t="shared" si="0"/>
        <v>0</v>
      </c>
      <c r="R200" s="7">
        <f t="shared" si="1"/>
        <v>0</v>
      </c>
      <c r="S200" s="7">
        <f t="shared" si="2"/>
        <v>1</v>
      </c>
    </row>
    <row r="201" spans="1:19" ht="16" x14ac:dyDescent="0.2">
      <c r="A201" s="4">
        <v>36811</v>
      </c>
      <c r="B201" s="5" t="s">
        <v>623</v>
      </c>
      <c r="C201" s="5" t="s">
        <v>624</v>
      </c>
      <c r="D201" s="14"/>
      <c r="E201" s="14"/>
      <c r="F201" s="5" t="s">
        <v>119</v>
      </c>
      <c r="G201" s="4">
        <v>4762</v>
      </c>
      <c r="H201" s="4">
        <v>10</v>
      </c>
      <c r="I201" s="4">
        <v>7</v>
      </c>
      <c r="J201" s="4">
        <v>1979</v>
      </c>
      <c r="K201" s="5" t="s">
        <v>625</v>
      </c>
      <c r="L201" s="6" t="s">
        <v>25</v>
      </c>
      <c r="M201" s="13">
        <v>0</v>
      </c>
      <c r="N201" s="13">
        <v>11</v>
      </c>
      <c r="O201" s="13">
        <v>38</v>
      </c>
      <c r="Q201" s="7">
        <f t="shared" si="0"/>
        <v>0</v>
      </c>
      <c r="R201" s="7">
        <f t="shared" si="1"/>
        <v>0.22448979591836735</v>
      </c>
      <c r="S201" s="7">
        <f t="shared" si="2"/>
        <v>0.77551020408163263</v>
      </c>
    </row>
    <row r="202" spans="1:19" ht="16" x14ac:dyDescent="0.2">
      <c r="A202" s="4">
        <v>36825</v>
      </c>
      <c r="B202" s="5" t="s">
        <v>626</v>
      </c>
      <c r="C202" s="5" t="s">
        <v>624</v>
      </c>
      <c r="D202" s="5"/>
      <c r="E202" s="5"/>
      <c r="F202" s="5" t="s">
        <v>119</v>
      </c>
      <c r="G202" s="4">
        <v>4406</v>
      </c>
      <c r="H202" s="4">
        <v>26</v>
      </c>
      <c r="I202" s="4">
        <v>7</v>
      </c>
      <c r="J202" s="4">
        <v>1978</v>
      </c>
      <c r="K202" s="5" t="s">
        <v>627</v>
      </c>
      <c r="L202" s="6" t="s">
        <v>25</v>
      </c>
      <c r="M202" s="13">
        <v>3</v>
      </c>
      <c r="N202" s="13">
        <v>42</v>
      </c>
      <c r="O202" s="13">
        <v>154</v>
      </c>
      <c r="Q202" s="7">
        <f t="shared" si="0"/>
        <v>1.507537688442211E-2</v>
      </c>
      <c r="R202" s="7">
        <f t="shared" si="1"/>
        <v>0.21105527638190955</v>
      </c>
      <c r="S202" s="7">
        <f t="shared" si="2"/>
        <v>0.77386934673366836</v>
      </c>
    </row>
    <row r="203" spans="1:19" ht="16" x14ac:dyDescent="0.2">
      <c r="A203" s="4">
        <v>36826</v>
      </c>
      <c r="B203" s="5" t="s">
        <v>628</v>
      </c>
      <c r="C203" s="5" t="s">
        <v>624</v>
      </c>
      <c r="D203" s="5"/>
      <c r="E203" s="5"/>
      <c r="F203" s="5" t="s">
        <v>119</v>
      </c>
      <c r="G203" s="4">
        <v>4405</v>
      </c>
      <c r="H203" s="4">
        <v>25</v>
      </c>
      <c r="I203" s="4">
        <v>7</v>
      </c>
      <c r="J203" s="4">
        <v>1978</v>
      </c>
      <c r="K203" s="5" t="s">
        <v>629</v>
      </c>
      <c r="L203" s="6" t="s">
        <v>25</v>
      </c>
      <c r="M203" s="13">
        <v>25</v>
      </c>
      <c r="N203" s="13">
        <v>70</v>
      </c>
      <c r="O203" s="13">
        <v>79</v>
      </c>
      <c r="Q203" s="7">
        <f t="shared" si="0"/>
        <v>0.14367816091954022</v>
      </c>
      <c r="R203" s="7">
        <f t="shared" si="1"/>
        <v>0.40229885057471265</v>
      </c>
      <c r="S203" s="7">
        <f t="shared" si="2"/>
        <v>0.45402298850574713</v>
      </c>
    </row>
    <row r="204" spans="1:19" ht="16" x14ac:dyDescent="0.2">
      <c r="A204" s="4">
        <v>36828</v>
      </c>
      <c r="B204" s="5" t="s">
        <v>630</v>
      </c>
      <c r="C204" s="5" t="s">
        <v>624</v>
      </c>
      <c r="D204" s="5"/>
      <c r="E204" s="5"/>
      <c r="F204" s="5" t="s">
        <v>119</v>
      </c>
      <c r="G204" s="4">
        <v>4763</v>
      </c>
      <c r="H204" s="4">
        <v>10</v>
      </c>
      <c r="I204" s="4">
        <v>7</v>
      </c>
      <c r="J204" s="4">
        <v>1979</v>
      </c>
      <c r="K204" s="5" t="s">
        <v>631</v>
      </c>
      <c r="L204" s="6" t="s">
        <v>25</v>
      </c>
      <c r="M204" s="13">
        <v>0</v>
      </c>
      <c r="N204" s="13">
        <v>3</v>
      </c>
      <c r="O204" s="13">
        <v>3</v>
      </c>
      <c r="Q204" s="7">
        <f t="shared" si="0"/>
        <v>0</v>
      </c>
      <c r="R204" s="7">
        <f t="shared" si="1"/>
        <v>0.5</v>
      </c>
      <c r="S204" s="7">
        <f t="shared" si="2"/>
        <v>0.5</v>
      </c>
    </row>
    <row r="205" spans="1:19" ht="16" x14ac:dyDescent="0.2">
      <c r="A205" s="4">
        <v>74186</v>
      </c>
      <c r="B205" s="5" t="s">
        <v>632</v>
      </c>
      <c r="C205" s="5" t="s">
        <v>624</v>
      </c>
      <c r="D205" s="5"/>
      <c r="E205" s="5"/>
      <c r="F205" s="5" t="s">
        <v>22</v>
      </c>
      <c r="G205" s="5" t="s">
        <v>633</v>
      </c>
      <c r="H205" s="4">
        <v>7</v>
      </c>
      <c r="I205" s="4">
        <v>7</v>
      </c>
      <c r="J205" s="4">
        <v>1987</v>
      </c>
      <c r="K205" s="5" t="s">
        <v>634</v>
      </c>
      <c r="L205" s="6" t="s">
        <v>25</v>
      </c>
      <c r="M205" s="13">
        <v>25</v>
      </c>
      <c r="N205" s="13">
        <v>26</v>
      </c>
      <c r="O205" s="13">
        <v>2</v>
      </c>
      <c r="Q205" s="7">
        <f t="shared" si="0"/>
        <v>0.47169811320754718</v>
      </c>
      <c r="R205" s="7">
        <f t="shared" si="1"/>
        <v>0.49056603773584906</v>
      </c>
      <c r="S205" s="7">
        <f t="shared" si="2"/>
        <v>3.7735849056603772E-2</v>
      </c>
    </row>
    <row r="206" spans="1:19" ht="16" x14ac:dyDescent="0.2">
      <c r="A206" s="4">
        <v>93283</v>
      </c>
      <c r="B206" s="5" t="s">
        <v>635</v>
      </c>
      <c r="C206" s="5" t="s">
        <v>624</v>
      </c>
      <c r="D206" s="5"/>
      <c r="E206" s="5"/>
      <c r="F206" s="5" t="s">
        <v>31</v>
      </c>
      <c r="G206" s="5" t="s">
        <v>636</v>
      </c>
      <c r="H206" s="4">
        <v>17</v>
      </c>
      <c r="I206" s="4">
        <v>7</v>
      </c>
      <c r="J206" s="4">
        <v>1990</v>
      </c>
      <c r="K206" s="5" t="s">
        <v>637</v>
      </c>
      <c r="L206" s="6" t="s">
        <v>25</v>
      </c>
      <c r="M206" s="13">
        <v>113</v>
      </c>
      <c r="N206" s="13">
        <v>148</v>
      </c>
      <c r="O206" s="13">
        <v>18</v>
      </c>
      <c r="Q206" s="7">
        <f t="shared" si="0"/>
        <v>0.4050179211469534</v>
      </c>
      <c r="R206" s="7">
        <f t="shared" si="1"/>
        <v>0.53046594982078854</v>
      </c>
      <c r="S206" s="7">
        <f t="shared" si="2"/>
        <v>6.4516129032258063E-2</v>
      </c>
    </row>
    <row r="207" spans="1:19" ht="16" x14ac:dyDescent="0.2">
      <c r="A207" s="4">
        <v>120630</v>
      </c>
      <c r="B207" s="5" t="s">
        <v>638</v>
      </c>
      <c r="C207" s="5" t="s">
        <v>624</v>
      </c>
      <c r="D207" s="5"/>
      <c r="E207" s="5"/>
      <c r="F207" s="5" t="s">
        <v>31</v>
      </c>
      <c r="G207" s="5" t="s">
        <v>639</v>
      </c>
      <c r="H207" s="4">
        <v>16</v>
      </c>
      <c r="I207" s="4">
        <v>8</v>
      </c>
      <c r="J207" s="4">
        <v>1994</v>
      </c>
      <c r="K207" s="5" t="s">
        <v>640</v>
      </c>
      <c r="L207" s="6" t="s">
        <v>25</v>
      </c>
      <c r="M207" s="13">
        <v>0</v>
      </c>
      <c r="N207" s="13">
        <v>0</v>
      </c>
      <c r="O207" s="13">
        <v>52</v>
      </c>
      <c r="Q207" s="7">
        <f t="shared" si="0"/>
        <v>0</v>
      </c>
      <c r="R207" s="7">
        <f t="shared" si="1"/>
        <v>0</v>
      </c>
      <c r="S207" s="7">
        <f t="shared" si="2"/>
        <v>1</v>
      </c>
    </row>
    <row r="208" spans="1:19" ht="16" x14ac:dyDescent="0.2">
      <c r="A208" s="4">
        <v>121691</v>
      </c>
      <c r="B208" s="5" t="s">
        <v>641</v>
      </c>
      <c r="C208" s="5" t="s">
        <v>624</v>
      </c>
      <c r="D208" s="5"/>
      <c r="E208" s="5"/>
      <c r="F208" s="5" t="s">
        <v>125</v>
      </c>
      <c r="G208" s="5" t="s">
        <v>642</v>
      </c>
      <c r="H208" s="4">
        <v>20</v>
      </c>
      <c r="I208" s="4">
        <v>10</v>
      </c>
      <c r="J208" s="4">
        <v>1994</v>
      </c>
      <c r="K208" s="5" t="s">
        <v>643</v>
      </c>
      <c r="L208" s="6" t="s">
        <v>25</v>
      </c>
      <c r="M208" s="13">
        <v>0</v>
      </c>
      <c r="N208" s="13">
        <v>0</v>
      </c>
      <c r="O208" s="13">
        <v>10</v>
      </c>
      <c r="Q208" s="7">
        <f t="shared" si="0"/>
        <v>0</v>
      </c>
      <c r="R208" s="7">
        <f t="shared" si="1"/>
        <v>0</v>
      </c>
      <c r="S208" s="7">
        <f t="shared" si="2"/>
        <v>1</v>
      </c>
    </row>
    <row r="209" spans="1:19" ht="16" x14ac:dyDescent="0.2">
      <c r="A209" s="4">
        <v>121695</v>
      </c>
      <c r="B209" s="5" t="s">
        <v>644</v>
      </c>
      <c r="C209" s="5" t="s">
        <v>624</v>
      </c>
      <c r="D209" s="5"/>
      <c r="E209" s="5"/>
      <c r="F209" s="5" t="s">
        <v>645</v>
      </c>
      <c r="G209" s="5" t="s">
        <v>646</v>
      </c>
      <c r="H209" s="4">
        <v>19</v>
      </c>
      <c r="I209" s="4">
        <v>10</v>
      </c>
      <c r="J209" s="4">
        <v>1994</v>
      </c>
      <c r="K209" s="5" t="s">
        <v>647</v>
      </c>
      <c r="L209" s="6" t="s">
        <v>25</v>
      </c>
      <c r="M209" s="13">
        <v>0</v>
      </c>
      <c r="N209" s="13">
        <v>0</v>
      </c>
      <c r="O209" s="13">
        <v>21</v>
      </c>
      <c r="Q209" s="7">
        <f t="shared" si="0"/>
        <v>0</v>
      </c>
      <c r="R209" s="7">
        <f t="shared" si="1"/>
        <v>0</v>
      </c>
      <c r="S209" s="7">
        <f t="shared" si="2"/>
        <v>1</v>
      </c>
    </row>
    <row r="210" spans="1:19" ht="16" x14ac:dyDescent="0.2">
      <c r="A210" s="4">
        <v>121715</v>
      </c>
      <c r="B210" s="5" t="s">
        <v>648</v>
      </c>
      <c r="C210" s="5" t="s">
        <v>624</v>
      </c>
      <c r="D210" s="5"/>
      <c r="E210" s="5"/>
      <c r="F210" s="5" t="s">
        <v>125</v>
      </c>
      <c r="G210" s="5" t="s">
        <v>649</v>
      </c>
      <c r="H210" s="4">
        <v>20</v>
      </c>
      <c r="I210" s="4">
        <v>10</v>
      </c>
      <c r="J210" s="4">
        <v>1994</v>
      </c>
      <c r="K210" s="5" t="s">
        <v>650</v>
      </c>
      <c r="L210" s="6" t="s">
        <v>25</v>
      </c>
      <c r="M210" s="13">
        <v>0</v>
      </c>
      <c r="N210" s="13">
        <v>0</v>
      </c>
      <c r="O210" s="13">
        <v>28</v>
      </c>
      <c r="Q210" s="7">
        <f t="shared" si="0"/>
        <v>0</v>
      </c>
      <c r="R210" s="7">
        <f t="shared" si="1"/>
        <v>0</v>
      </c>
      <c r="S210" s="7">
        <f t="shared" si="2"/>
        <v>1</v>
      </c>
    </row>
    <row r="211" spans="1:19" ht="16" x14ac:dyDescent="0.2">
      <c r="A211" s="4">
        <v>143944</v>
      </c>
      <c r="B211" s="5" t="s">
        <v>651</v>
      </c>
      <c r="C211" s="5" t="s">
        <v>624</v>
      </c>
      <c r="D211" s="5"/>
      <c r="E211" s="5"/>
      <c r="F211" s="5" t="s">
        <v>608</v>
      </c>
      <c r="G211" s="5" t="s">
        <v>652</v>
      </c>
      <c r="H211" s="4">
        <v>11</v>
      </c>
      <c r="I211" s="4">
        <v>7</v>
      </c>
      <c r="J211" s="4">
        <v>1999</v>
      </c>
      <c r="K211" s="5" t="s">
        <v>647</v>
      </c>
      <c r="L211" s="6" t="s">
        <v>25</v>
      </c>
      <c r="M211" s="13">
        <v>2</v>
      </c>
      <c r="N211" s="13">
        <v>17</v>
      </c>
      <c r="O211" s="13">
        <v>4</v>
      </c>
      <c r="Q211" s="7">
        <f t="shared" si="0"/>
        <v>8.6956521739130432E-2</v>
      </c>
      <c r="R211" s="7">
        <f t="shared" si="1"/>
        <v>0.73913043478260865</v>
      </c>
      <c r="S211" s="7">
        <f t="shared" si="2"/>
        <v>0.17391304347826086</v>
      </c>
    </row>
    <row r="212" spans="1:19" ht="16" x14ac:dyDescent="0.2">
      <c r="A212" s="4">
        <v>152468</v>
      </c>
      <c r="B212" s="5" t="s">
        <v>653</v>
      </c>
      <c r="C212" s="5" t="s">
        <v>624</v>
      </c>
      <c r="D212" s="5"/>
      <c r="E212" s="5"/>
      <c r="F212" s="5" t="s">
        <v>31</v>
      </c>
      <c r="G212" s="5" t="s">
        <v>654</v>
      </c>
      <c r="H212" s="4">
        <v>10</v>
      </c>
      <c r="I212" s="4">
        <v>7</v>
      </c>
      <c r="J212" s="4">
        <v>2001</v>
      </c>
      <c r="K212" s="5" t="s">
        <v>655</v>
      </c>
      <c r="L212" s="6" t="s">
        <v>25</v>
      </c>
      <c r="M212" s="13">
        <v>0</v>
      </c>
      <c r="N212" s="13">
        <v>0</v>
      </c>
      <c r="O212" s="13">
        <v>49</v>
      </c>
      <c r="Q212" s="7">
        <f t="shared" si="0"/>
        <v>0</v>
      </c>
      <c r="R212" s="7">
        <f t="shared" si="1"/>
        <v>0</v>
      </c>
      <c r="S212" s="7">
        <f t="shared" si="2"/>
        <v>1</v>
      </c>
    </row>
    <row r="213" spans="1:19" ht="16" x14ac:dyDescent="0.2">
      <c r="A213" s="4">
        <v>177299</v>
      </c>
      <c r="B213" s="5" t="s">
        <v>656</v>
      </c>
      <c r="C213" s="5" t="s">
        <v>624</v>
      </c>
      <c r="D213" s="5"/>
      <c r="E213" s="5"/>
      <c r="F213" s="5" t="s">
        <v>113</v>
      </c>
      <c r="G213" s="5" t="s">
        <v>657</v>
      </c>
      <c r="H213" s="4">
        <v>6</v>
      </c>
      <c r="I213" s="4">
        <v>8</v>
      </c>
      <c r="J213" s="4">
        <v>2013</v>
      </c>
      <c r="K213" s="5" t="s">
        <v>658</v>
      </c>
      <c r="L213" s="6" t="s">
        <v>25</v>
      </c>
      <c r="M213" s="13">
        <v>0</v>
      </c>
      <c r="N213" s="13">
        <v>0</v>
      </c>
      <c r="O213" s="13">
        <v>19</v>
      </c>
      <c r="Q213" s="7">
        <f t="shared" si="0"/>
        <v>0</v>
      </c>
      <c r="R213" s="7">
        <f t="shared" si="1"/>
        <v>0</v>
      </c>
      <c r="S213" s="7">
        <f t="shared" si="2"/>
        <v>1</v>
      </c>
    </row>
    <row r="214" spans="1:19" ht="16" x14ac:dyDescent="0.2">
      <c r="A214" s="4">
        <v>177300</v>
      </c>
      <c r="B214" s="5" t="s">
        <v>659</v>
      </c>
      <c r="C214" s="5" t="s">
        <v>624</v>
      </c>
      <c r="D214" s="5"/>
      <c r="E214" s="5"/>
      <c r="F214" s="5" t="s">
        <v>113</v>
      </c>
      <c r="G214" s="5" t="s">
        <v>660</v>
      </c>
      <c r="H214" s="4">
        <v>6</v>
      </c>
      <c r="I214" s="4">
        <v>8</v>
      </c>
      <c r="J214" s="4">
        <v>2013</v>
      </c>
      <c r="K214" s="5" t="s">
        <v>661</v>
      </c>
      <c r="L214" s="6" t="s">
        <v>25</v>
      </c>
      <c r="M214" s="13">
        <v>0</v>
      </c>
      <c r="N214" s="13">
        <v>0</v>
      </c>
      <c r="O214" s="13">
        <v>15</v>
      </c>
      <c r="Q214" s="7">
        <f t="shared" si="0"/>
        <v>0</v>
      </c>
      <c r="R214" s="7">
        <f t="shared" si="1"/>
        <v>0</v>
      </c>
      <c r="S214" s="7">
        <f t="shared" si="2"/>
        <v>1</v>
      </c>
    </row>
    <row r="215" spans="1:19" ht="16" x14ac:dyDescent="0.2">
      <c r="A215" s="4">
        <v>179440</v>
      </c>
      <c r="B215" s="5" t="s">
        <v>662</v>
      </c>
      <c r="C215" s="5" t="s">
        <v>624</v>
      </c>
      <c r="D215" s="5"/>
      <c r="E215" s="5"/>
      <c r="F215" s="5" t="s">
        <v>663</v>
      </c>
      <c r="G215" s="5" t="s">
        <v>664</v>
      </c>
      <c r="H215" s="4">
        <v>16</v>
      </c>
      <c r="I215" s="4">
        <v>7</v>
      </c>
      <c r="J215" s="4">
        <v>2014</v>
      </c>
      <c r="K215" s="5" t="s">
        <v>665</v>
      </c>
      <c r="L215" s="6" t="s">
        <v>25</v>
      </c>
      <c r="M215" s="13">
        <v>9</v>
      </c>
      <c r="N215" s="13">
        <v>19</v>
      </c>
      <c r="O215" s="13">
        <v>13</v>
      </c>
      <c r="Q215" s="7">
        <f t="shared" si="0"/>
        <v>0.21951219512195122</v>
      </c>
      <c r="R215" s="7">
        <f t="shared" si="1"/>
        <v>0.46341463414634149</v>
      </c>
      <c r="S215" s="7">
        <f t="shared" si="2"/>
        <v>0.31707317073170732</v>
      </c>
    </row>
    <row r="216" spans="1:19" ht="16" x14ac:dyDescent="0.2">
      <c r="A216" s="4">
        <v>187824</v>
      </c>
      <c r="B216" s="5" t="s">
        <v>666</v>
      </c>
      <c r="C216" s="5" t="s">
        <v>624</v>
      </c>
      <c r="D216" s="5"/>
      <c r="E216" s="5"/>
      <c r="F216" s="5" t="s">
        <v>47</v>
      </c>
      <c r="G216" s="5" t="s">
        <v>667</v>
      </c>
      <c r="H216" s="4">
        <v>9</v>
      </c>
      <c r="I216" s="4">
        <v>8</v>
      </c>
      <c r="J216" s="4">
        <v>2018</v>
      </c>
      <c r="K216" s="5" t="s">
        <v>668</v>
      </c>
      <c r="L216" s="6" t="s">
        <v>25</v>
      </c>
      <c r="M216" s="13">
        <v>0</v>
      </c>
      <c r="N216" s="13">
        <v>0</v>
      </c>
      <c r="O216" s="13">
        <v>12</v>
      </c>
      <c r="Q216" s="7">
        <f t="shared" si="0"/>
        <v>0</v>
      </c>
      <c r="R216" s="7">
        <f t="shared" si="1"/>
        <v>0</v>
      </c>
      <c r="S216" s="7">
        <f t="shared" si="2"/>
        <v>1</v>
      </c>
    </row>
    <row r="217" spans="1:19" ht="16" x14ac:dyDescent="0.2">
      <c r="A217" s="4">
        <v>188450</v>
      </c>
      <c r="B217" s="5" t="s">
        <v>669</v>
      </c>
      <c r="C217" s="5" t="s">
        <v>624</v>
      </c>
      <c r="D217" s="5"/>
      <c r="E217" s="5"/>
      <c r="F217" s="5" t="s">
        <v>510</v>
      </c>
      <c r="G217" s="5" t="s">
        <v>670</v>
      </c>
      <c r="H217" s="4">
        <v>5</v>
      </c>
      <c r="I217" s="4">
        <v>6</v>
      </c>
      <c r="J217" s="4">
        <v>2019</v>
      </c>
      <c r="K217" s="5" t="s">
        <v>671</v>
      </c>
      <c r="L217" s="6" t="s">
        <v>25</v>
      </c>
      <c r="M217" s="13">
        <v>0</v>
      </c>
      <c r="N217" s="13">
        <v>0</v>
      </c>
      <c r="O217" s="13">
        <v>0</v>
      </c>
      <c r="Q217" s="7" t="e">
        <f t="shared" si="0"/>
        <v>#DIV/0!</v>
      </c>
      <c r="R217" s="7" t="e">
        <f t="shared" si="1"/>
        <v>#DIV/0!</v>
      </c>
      <c r="S217" s="7" t="e">
        <f t="shared" si="2"/>
        <v>#DIV/0!</v>
      </c>
    </row>
    <row r="218" spans="1:19" ht="16" x14ac:dyDescent="0.2">
      <c r="A218" s="4">
        <v>188221</v>
      </c>
      <c r="B218" s="5" t="s">
        <v>672</v>
      </c>
      <c r="C218" s="5" t="s">
        <v>673</v>
      </c>
      <c r="D218" s="5"/>
      <c r="E218" s="5"/>
      <c r="F218" s="5" t="s">
        <v>47</v>
      </c>
      <c r="G218" s="5" t="s">
        <v>674</v>
      </c>
      <c r="H218" s="4">
        <v>13</v>
      </c>
      <c r="I218" s="4">
        <v>9</v>
      </c>
      <c r="J218" s="4">
        <v>2018</v>
      </c>
      <c r="K218" s="5" t="s">
        <v>296</v>
      </c>
      <c r="L218" s="6" t="s">
        <v>25</v>
      </c>
      <c r="M218" s="13">
        <v>0</v>
      </c>
      <c r="N218" s="13">
        <v>0</v>
      </c>
      <c r="O218" s="13">
        <v>0</v>
      </c>
      <c r="Q218" s="7" t="e">
        <f t="shared" si="0"/>
        <v>#DIV/0!</v>
      </c>
      <c r="R218" s="7" t="e">
        <f t="shared" si="1"/>
        <v>#DIV/0!</v>
      </c>
      <c r="S218" s="7" t="e">
        <f t="shared" si="2"/>
        <v>#DIV/0!</v>
      </c>
    </row>
    <row r="219" spans="1:19" ht="16" x14ac:dyDescent="0.2">
      <c r="A219" s="4">
        <v>188452</v>
      </c>
      <c r="B219" s="5" t="s">
        <v>675</v>
      </c>
      <c r="C219" s="5" t="s">
        <v>676</v>
      </c>
      <c r="D219" s="5"/>
      <c r="E219" s="5"/>
      <c r="F219" s="5" t="s">
        <v>47</v>
      </c>
      <c r="G219" s="5" t="s">
        <v>677</v>
      </c>
      <c r="H219" s="4">
        <v>16</v>
      </c>
      <c r="I219" s="4">
        <v>8</v>
      </c>
      <c r="J219" s="4">
        <v>2018</v>
      </c>
      <c r="K219" s="5" t="s">
        <v>678</v>
      </c>
      <c r="L219" s="6" t="s">
        <v>25</v>
      </c>
      <c r="M219" s="13">
        <v>0</v>
      </c>
      <c r="N219" s="13">
        <v>0</v>
      </c>
      <c r="O219" s="13">
        <v>0</v>
      </c>
      <c r="Q219" s="7" t="e">
        <f t="shared" si="0"/>
        <v>#DIV/0!</v>
      </c>
      <c r="R219" s="7" t="e">
        <f t="shared" si="1"/>
        <v>#DIV/0!</v>
      </c>
      <c r="S219" s="7" t="e">
        <f t="shared" si="2"/>
        <v>#DIV/0!</v>
      </c>
    </row>
    <row r="220" spans="1:19" ht="16" x14ac:dyDescent="0.2">
      <c r="A220" s="4">
        <v>89846</v>
      </c>
      <c r="B220" s="5" t="s">
        <v>679</v>
      </c>
      <c r="C220" s="5" t="s">
        <v>680</v>
      </c>
      <c r="D220" s="5"/>
      <c r="E220" s="5"/>
      <c r="F220" s="5" t="s">
        <v>31</v>
      </c>
      <c r="G220" s="5" t="s">
        <v>681</v>
      </c>
      <c r="H220" s="4">
        <v>25</v>
      </c>
      <c r="I220" s="4">
        <v>7</v>
      </c>
      <c r="J220" s="4">
        <v>1989</v>
      </c>
      <c r="K220" s="5" t="s">
        <v>682</v>
      </c>
      <c r="L220" s="6" t="s">
        <v>25</v>
      </c>
      <c r="M220" s="13">
        <v>0</v>
      </c>
      <c r="N220" s="13">
        <v>0</v>
      </c>
      <c r="O220" s="13">
        <v>7</v>
      </c>
      <c r="Q220" s="7">
        <f t="shared" si="0"/>
        <v>0</v>
      </c>
      <c r="R220" s="7">
        <f t="shared" si="1"/>
        <v>0</v>
      </c>
      <c r="S220" s="7">
        <f t="shared" si="2"/>
        <v>1</v>
      </c>
    </row>
    <row r="221" spans="1:19" ht="16" x14ac:dyDescent="0.2">
      <c r="A221" s="4">
        <v>28122</v>
      </c>
      <c r="B221" s="5" t="s">
        <v>683</v>
      </c>
      <c r="C221" s="5" t="s">
        <v>684</v>
      </c>
      <c r="D221" s="5"/>
      <c r="E221" s="5"/>
      <c r="F221" s="5" t="s">
        <v>685</v>
      </c>
      <c r="G221" s="5" t="s">
        <v>167</v>
      </c>
      <c r="H221" s="4">
        <v>10</v>
      </c>
      <c r="I221" s="4">
        <v>7</v>
      </c>
      <c r="J221" s="4">
        <v>1972</v>
      </c>
      <c r="K221" s="5" t="s">
        <v>686</v>
      </c>
      <c r="L221" s="6" t="s">
        <v>25</v>
      </c>
      <c r="M221" s="13">
        <v>80</v>
      </c>
      <c r="N221" s="13">
        <v>76</v>
      </c>
      <c r="O221" s="13">
        <v>0</v>
      </c>
      <c r="Q221" s="7">
        <f t="shared" si="0"/>
        <v>0.51282051282051277</v>
      </c>
      <c r="R221" s="7">
        <f t="shared" si="1"/>
        <v>0.48717948717948717</v>
      </c>
      <c r="S221" s="7">
        <f t="shared" si="2"/>
        <v>0</v>
      </c>
    </row>
    <row r="222" spans="1:19" ht="16" x14ac:dyDescent="0.2">
      <c r="A222" s="4">
        <v>28123</v>
      </c>
      <c r="B222" s="5" t="s">
        <v>687</v>
      </c>
      <c r="C222" s="5" t="s">
        <v>684</v>
      </c>
      <c r="D222" s="5"/>
      <c r="E222" s="5"/>
      <c r="F222" s="5" t="s">
        <v>685</v>
      </c>
      <c r="G222" s="5" t="s">
        <v>167</v>
      </c>
      <c r="H222" s="4">
        <v>7</v>
      </c>
      <c r="I222" s="4">
        <v>7</v>
      </c>
      <c r="J222" s="4">
        <v>1972</v>
      </c>
      <c r="K222" s="5" t="s">
        <v>686</v>
      </c>
      <c r="L222" s="6" t="s">
        <v>25</v>
      </c>
      <c r="M222" s="13">
        <v>93</v>
      </c>
      <c r="N222" s="13">
        <v>33</v>
      </c>
      <c r="O222" s="13">
        <v>0</v>
      </c>
      <c r="Q222" s="7">
        <f t="shared" si="0"/>
        <v>0.73809523809523814</v>
      </c>
      <c r="R222" s="7">
        <f t="shared" si="1"/>
        <v>0.26190476190476192</v>
      </c>
      <c r="S222" s="7">
        <f t="shared" si="2"/>
        <v>0</v>
      </c>
    </row>
    <row r="223" spans="1:19" ht="16" x14ac:dyDescent="0.2">
      <c r="A223" s="4">
        <v>28124</v>
      </c>
      <c r="B223" s="5" t="s">
        <v>688</v>
      </c>
      <c r="C223" s="5" t="s">
        <v>684</v>
      </c>
      <c r="D223" s="5"/>
      <c r="E223" s="5"/>
      <c r="F223" s="5" t="s">
        <v>550</v>
      </c>
      <c r="G223" s="5" t="s">
        <v>167</v>
      </c>
      <c r="H223" s="4">
        <v>10</v>
      </c>
      <c r="I223" s="4">
        <v>7</v>
      </c>
      <c r="J223" s="4">
        <v>1969</v>
      </c>
      <c r="K223" s="5" t="s">
        <v>689</v>
      </c>
      <c r="L223" s="6" t="s">
        <v>25</v>
      </c>
      <c r="M223" s="13">
        <v>10</v>
      </c>
      <c r="N223" s="13">
        <v>49</v>
      </c>
      <c r="O223" s="13">
        <v>16</v>
      </c>
      <c r="Q223" s="7">
        <f t="shared" si="0"/>
        <v>0.13333333333333333</v>
      </c>
      <c r="R223" s="7">
        <f t="shared" si="1"/>
        <v>0.65333333333333332</v>
      </c>
      <c r="S223" s="7">
        <f t="shared" si="2"/>
        <v>0.21333333333333335</v>
      </c>
    </row>
    <row r="224" spans="1:19" ht="16" x14ac:dyDescent="0.2">
      <c r="A224" s="4">
        <v>36823</v>
      </c>
      <c r="B224" s="5" t="s">
        <v>690</v>
      </c>
      <c r="C224" s="5" t="s">
        <v>684</v>
      </c>
      <c r="D224" s="5"/>
      <c r="E224" s="5"/>
      <c r="F224" s="5" t="s">
        <v>119</v>
      </c>
      <c r="G224" s="4">
        <v>4761</v>
      </c>
      <c r="H224" s="4">
        <v>9</v>
      </c>
      <c r="I224" s="4">
        <v>7</v>
      </c>
      <c r="J224" s="4">
        <v>1979</v>
      </c>
      <c r="K224" s="5" t="s">
        <v>691</v>
      </c>
      <c r="L224" s="6" t="s">
        <v>25</v>
      </c>
      <c r="M224" s="13">
        <v>47</v>
      </c>
      <c r="N224" s="13">
        <v>30</v>
      </c>
      <c r="O224" s="13">
        <v>0</v>
      </c>
      <c r="Q224" s="7">
        <f t="shared" si="0"/>
        <v>0.61038961038961037</v>
      </c>
      <c r="R224" s="7">
        <f t="shared" si="1"/>
        <v>0.38961038961038963</v>
      </c>
      <c r="S224" s="7">
        <f t="shared" si="2"/>
        <v>0</v>
      </c>
    </row>
    <row r="225" spans="1:19" ht="16" x14ac:dyDescent="0.2">
      <c r="A225" s="4">
        <v>36840</v>
      </c>
      <c r="B225" s="5" t="s">
        <v>692</v>
      </c>
      <c r="C225" s="5" t="s">
        <v>684</v>
      </c>
      <c r="D225" s="5"/>
      <c r="E225" s="5"/>
      <c r="F225" s="5" t="s">
        <v>119</v>
      </c>
      <c r="G225" s="4">
        <v>4748</v>
      </c>
      <c r="H225" s="4">
        <v>6</v>
      </c>
      <c r="I225" s="4">
        <v>7</v>
      </c>
      <c r="J225" s="4">
        <v>1979</v>
      </c>
      <c r="K225" s="5" t="s">
        <v>693</v>
      </c>
      <c r="L225" s="6" t="s">
        <v>25</v>
      </c>
      <c r="M225" s="13">
        <v>55</v>
      </c>
      <c r="N225" s="13">
        <v>22</v>
      </c>
      <c r="O225" s="13">
        <v>7</v>
      </c>
      <c r="Q225" s="7">
        <f t="shared" si="0"/>
        <v>0.65476190476190477</v>
      </c>
      <c r="R225" s="7">
        <f t="shared" si="1"/>
        <v>0.26190476190476192</v>
      </c>
      <c r="S225" s="7">
        <f t="shared" si="2"/>
        <v>8.3333333333333329E-2</v>
      </c>
    </row>
    <row r="226" spans="1:19" ht="16" x14ac:dyDescent="0.2">
      <c r="A226" s="4">
        <v>54628</v>
      </c>
      <c r="B226" s="5" t="s">
        <v>694</v>
      </c>
      <c r="C226" s="5" t="s">
        <v>684</v>
      </c>
      <c r="D226" s="5"/>
      <c r="E226" s="5"/>
      <c r="F226" s="5" t="s">
        <v>695</v>
      </c>
      <c r="G226" s="5" t="s">
        <v>167</v>
      </c>
      <c r="H226" s="4">
        <v>10</v>
      </c>
      <c r="I226" s="4">
        <v>7</v>
      </c>
      <c r="J226" s="4">
        <v>1984</v>
      </c>
      <c r="K226" s="5" t="s">
        <v>696</v>
      </c>
      <c r="L226" s="6" t="s">
        <v>25</v>
      </c>
      <c r="M226" s="13">
        <v>149</v>
      </c>
      <c r="N226" s="13">
        <v>100</v>
      </c>
      <c r="O226" s="13">
        <v>0</v>
      </c>
      <c r="Q226" s="7">
        <f t="shared" si="0"/>
        <v>0.59839357429718876</v>
      </c>
      <c r="R226" s="7">
        <f t="shared" si="1"/>
        <v>0.40160642570281124</v>
      </c>
      <c r="S226" s="7">
        <f t="shared" si="2"/>
        <v>0</v>
      </c>
    </row>
    <row r="227" spans="1:19" ht="16" x14ac:dyDescent="0.2">
      <c r="A227" s="4">
        <v>95434</v>
      </c>
      <c r="B227" s="5" t="s">
        <v>697</v>
      </c>
      <c r="C227" s="5" t="s">
        <v>684</v>
      </c>
      <c r="D227" s="5"/>
      <c r="E227" s="5"/>
      <c r="F227" s="5" t="s">
        <v>31</v>
      </c>
      <c r="G227" s="5" t="s">
        <v>698</v>
      </c>
      <c r="H227" s="4">
        <v>14</v>
      </c>
      <c r="I227" s="4">
        <v>8</v>
      </c>
      <c r="J227" s="4">
        <v>1990</v>
      </c>
      <c r="K227" s="5" t="s">
        <v>699</v>
      </c>
      <c r="L227" s="6" t="s">
        <v>25</v>
      </c>
      <c r="M227" s="13">
        <v>0</v>
      </c>
      <c r="N227" s="13">
        <v>0</v>
      </c>
      <c r="O227" s="13">
        <v>20</v>
      </c>
      <c r="Q227" s="7">
        <f t="shared" si="0"/>
        <v>0</v>
      </c>
      <c r="R227" s="7">
        <f t="shared" si="1"/>
        <v>0</v>
      </c>
      <c r="S227" s="7">
        <f t="shared" si="2"/>
        <v>1</v>
      </c>
    </row>
    <row r="228" spans="1:19" ht="16" x14ac:dyDescent="0.2">
      <c r="A228" s="4">
        <v>127877</v>
      </c>
      <c r="B228" s="5" t="s">
        <v>700</v>
      </c>
      <c r="C228" s="5" t="s">
        <v>684</v>
      </c>
      <c r="D228" s="5"/>
      <c r="E228" s="5"/>
      <c r="F228" s="5" t="s">
        <v>125</v>
      </c>
      <c r="G228" s="5" t="s">
        <v>701</v>
      </c>
      <c r="H228" s="4">
        <v>10</v>
      </c>
      <c r="I228" s="4">
        <v>7</v>
      </c>
      <c r="J228" s="4">
        <v>1995</v>
      </c>
      <c r="K228" s="5" t="s">
        <v>702</v>
      </c>
      <c r="L228" s="6" t="s">
        <v>25</v>
      </c>
      <c r="M228" s="13">
        <v>23</v>
      </c>
      <c r="N228" s="13">
        <v>33</v>
      </c>
      <c r="O228" s="13">
        <v>0</v>
      </c>
      <c r="Q228" s="7">
        <f t="shared" si="0"/>
        <v>0.4107142857142857</v>
      </c>
      <c r="R228" s="7">
        <f t="shared" si="1"/>
        <v>0.5892857142857143</v>
      </c>
      <c r="S228" s="7">
        <f t="shared" si="2"/>
        <v>0</v>
      </c>
    </row>
    <row r="229" spans="1:19" ht="16" x14ac:dyDescent="0.2">
      <c r="A229" s="4">
        <v>143960</v>
      </c>
      <c r="B229" s="5" t="s">
        <v>703</v>
      </c>
      <c r="C229" s="5" t="s">
        <v>684</v>
      </c>
      <c r="D229" s="5"/>
      <c r="E229" s="5"/>
      <c r="F229" s="5" t="s">
        <v>704</v>
      </c>
      <c r="G229" s="5" t="s">
        <v>167</v>
      </c>
      <c r="H229" s="4">
        <v>28</v>
      </c>
      <c r="I229" s="4">
        <v>6</v>
      </c>
      <c r="J229" s="4">
        <v>1999</v>
      </c>
      <c r="K229" s="5" t="s">
        <v>705</v>
      </c>
      <c r="L229" s="6" t="s">
        <v>25</v>
      </c>
      <c r="M229" s="13">
        <v>218</v>
      </c>
      <c r="N229" s="13">
        <v>42</v>
      </c>
      <c r="O229" s="13">
        <v>0</v>
      </c>
      <c r="Q229" s="7">
        <f t="shared" si="0"/>
        <v>0.83846153846153848</v>
      </c>
      <c r="R229" s="7">
        <f t="shared" si="1"/>
        <v>0.16153846153846155</v>
      </c>
      <c r="S229" s="7">
        <f t="shared" si="2"/>
        <v>0</v>
      </c>
    </row>
    <row r="230" spans="1:19" ht="16" x14ac:dyDescent="0.2">
      <c r="A230" s="4">
        <v>145619</v>
      </c>
      <c r="B230" s="5" t="s">
        <v>706</v>
      </c>
      <c r="C230" s="5" t="s">
        <v>684</v>
      </c>
      <c r="D230" s="5"/>
      <c r="E230" s="5"/>
      <c r="F230" s="5" t="s">
        <v>704</v>
      </c>
      <c r="G230" s="5" t="s">
        <v>167</v>
      </c>
      <c r="H230" s="4">
        <v>28</v>
      </c>
      <c r="I230" s="4">
        <v>6</v>
      </c>
      <c r="J230" s="4">
        <v>1999</v>
      </c>
      <c r="K230" s="5" t="s">
        <v>707</v>
      </c>
      <c r="L230" s="6" t="s">
        <v>25</v>
      </c>
      <c r="M230" s="13">
        <v>200</v>
      </c>
      <c r="N230" s="13">
        <v>24</v>
      </c>
      <c r="O230" s="13">
        <v>0</v>
      </c>
      <c r="Q230" s="7">
        <f t="shared" si="0"/>
        <v>0.8928571428571429</v>
      </c>
      <c r="R230" s="7">
        <f t="shared" si="1"/>
        <v>0.10714285714285714</v>
      </c>
      <c r="S230" s="7">
        <f t="shared" si="2"/>
        <v>0</v>
      </c>
    </row>
    <row r="231" spans="1:19" ht="16" x14ac:dyDescent="0.2">
      <c r="A231" s="4">
        <v>146187</v>
      </c>
      <c r="B231" s="5" t="s">
        <v>708</v>
      </c>
      <c r="C231" s="5" t="s">
        <v>684</v>
      </c>
      <c r="D231" s="5"/>
      <c r="E231" s="5"/>
      <c r="F231" s="5" t="s">
        <v>31</v>
      </c>
      <c r="G231" s="5" t="s">
        <v>709</v>
      </c>
      <c r="H231" s="4">
        <v>13</v>
      </c>
      <c r="I231" s="4">
        <v>9</v>
      </c>
      <c r="J231" s="4">
        <v>1999</v>
      </c>
      <c r="K231" s="5" t="s">
        <v>707</v>
      </c>
      <c r="L231" s="6" t="s">
        <v>25</v>
      </c>
      <c r="M231" s="13">
        <v>0</v>
      </c>
      <c r="N231" s="13">
        <v>0</v>
      </c>
      <c r="O231" s="13">
        <v>1</v>
      </c>
      <c r="Q231" s="7">
        <f t="shared" si="0"/>
        <v>0</v>
      </c>
      <c r="R231" s="7">
        <f t="shared" si="1"/>
        <v>0</v>
      </c>
      <c r="S231" s="7">
        <f t="shared" si="2"/>
        <v>1</v>
      </c>
    </row>
    <row r="232" spans="1:19" ht="16" x14ac:dyDescent="0.2">
      <c r="A232" s="4">
        <v>152545</v>
      </c>
      <c r="B232" s="5" t="s">
        <v>710</v>
      </c>
      <c r="C232" s="5" t="s">
        <v>684</v>
      </c>
      <c r="D232" s="5"/>
      <c r="E232" s="5"/>
      <c r="F232" s="5" t="s">
        <v>31</v>
      </c>
      <c r="G232" s="5" t="s">
        <v>711</v>
      </c>
      <c r="H232" s="4">
        <v>10</v>
      </c>
      <c r="I232" s="4">
        <v>7</v>
      </c>
      <c r="J232" s="4">
        <v>2001</v>
      </c>
      <c r="K232" s="5" t="s">
        <v>712</v>
      </c>
      <c r="L232" s="6" t="s">
        <v>25</v>
      </c>
      <c r="M232" s="13">
        <v>0</v>
      </c>
      <c r="N232" s="13">
        <v>21</v>
      </c>
      <c r="O232" s="13">
        <v>26</v>
      </c>
      <c r="Q232" s="7">
        <f t="shared" si="0"/>
        <v>0</v>
      </c>
      <c r="R232" s="7">
        <f t="shared" si="1"/>
        <v>0.44680851063829785</v>
      </c>
      <c r="S232" s="7">
        <f t="shared" si="2"/>
        <v>0.55319148936170215</v>
      </c>
    </row>
    <row r="233" spans="1:19" ht="16" x14ac:dyDescent="0.2">
      <c r="A233" s="4">
        <v>155663</v>
      </c>
      <c r="B233" s="5" t="s">
        <v>713</v>
      </c>
      <c r="C233" s="5" t="s">
        <v>684</v>
      </c>
      <c r="D233" s="5"/>
      <c r="E233" s="5"/>
      <c r="F233" s="5" t="s">
        <v>119</v>
      </c>
      <c r="G233" s="4">
        <v>9711</v>
      </c>
      <c r="H233" s="4">
        <v>10</v>
      </c>
      <c r="I233" s="4">
        <v>8</v>
      </c>
      <c r="J233" s="4">
        <v>2001</v>
      </c>
      <c r="K233" s="5" t="s">
        <v>714</v>
      </c>
      <c r="L233" s="6" t="s">
        <v>25</v>
      </c>
      <c r="M233" s="13">
        <v>0</v>
      </c>
      <c r="N233" s="13">
        <v>0</v>
      </c>
      <c r="O233" s="13">
        <v>8</v>
      </c>
      <c r="Q233" s="7">
        <f t="shared" si="0"/>
        <v>0</v>
      </c>
      <c r="R233" s="7">
        <f t="shared" si="1"/>
        <v>0</v>
      </c>
      <c r="S233" s="7">
        <f t="shared" si="2"/>
        <v>1</v>
      </c>
    </row>
    <row r="234" spans="1:19" ht="16" x14ac:dyDescent="0.2">
      <c r="A234" s="4">
        <v>167439</v>
      </c>
      <c r="B234" s="5" t="s">
        <v>715</v>
      </c>
      <c r="C234" s="5" t="s">
        <v>684</v>
      </c>
      <c r="D234" s="5"/>
      <c r="E234" s="5"/>
      <c r="F234" s="5" t="s">
        <v>277</v>
      </c>
      <c r="G234" s="5" t="s">
        <v>716</v>
      </c>
      <c r="H234" s="4">
        <v>21</v>
      </c>
      <c r="I234" s="4">
        <v>8</v>
      </c>
      <c r="J234" s="4">
        <v>2008</v>
      </c>
      <c r="K234" s="5" t="s">
        <v>717</v>
      </c>
      <c r="L234" s="6" t="s">
        <v>25</v>
      </c>
      <c r="M234" s="13">
        <v>0</v>
      </c>
      <c r="N234" s="13">
        <v>0</v>
      </c>
      <c r="O234" s="13">
        <v>60</v>
      </c>
      <c r="Q234" s="7">
        <f t="shared" si="0"/>
        <v>0</v>
      </c>
      <c r="R234" s="7">
        <f t="shared" si="1"/>
        <v>0</v>
      </c>
      <c r="S234" s="7">
        <f t="shared" si="2"/>
        <v>1</v>
      </c>
    </row>
    <row r="235" spans="1:19" ht="16" x14ac:dyDescent="0.2">
      <c r="A235" s="4">
        <v>168942</v>
      </c>
      <c r="B235" s="5" t="s">
        <v>718</v>
      </c>
      <c r="C235" s="5" t="s">
        <v>684</v>
      </c>
      <c r="D235" s="5"/>
      <c r="E235" s="5"/>
      <c r="F235" s="5" t="s">
        <v>113</v>
      </c>
      <c r="G235" s="5" t="s">
        <v>719</v>
      </c>
      <c r="H235" s="4">
        <v>29</v>
      </c>
      <c r="I235" s="4">
        <v>9</v>
      </c>
      <c r="J235" s="4">
        <v>2009</v>
      </c>
      <c r="K235" s="5" t="s">
        <v>720</v>
      </c>
      <c r="L235" s="6" t="s">
        <v>25</v>
      </c>
      <c r="M235" s="13">
        <v>0</v>
      </c>
      <c r="N235" s="13">
        <v>0</v>
      </c>
      <c r="O235" s="13">
        <v>40</v>
      </c>
      <c r="Q235" s="7">
        <f t="shared" si="0"/>
        <v>0</v>
      </c>
      <c r="R235" s="7">
        <f t="shared" si="1"/>
        <v>0</v>
      </c>
      <c r="S235" s="7">
        <f t="shared" si="2"/>
        <v>1</v>
      </c>
    </row>
    <row r="236" spans="1:19" ht="16" x14ac:dyDescent="0.2">
      <c r="A236" s="4">
        <v>170404</v>
      </c>
      <c r="B236" s="5" t="s">
        <v>721</v>
      </c>
      <c r="C236" s="5" t="s">
        <v>684</v>
      </c>
      <c r="D236" s="5"/>
      <c r="E236" s="5"/>
      <c r="F236" s="5" t="s">
        <v>113</v>
      </c>
      <c r="G236" s="5" t="s">
        <v>722</v>
      </c>
      <c r="H236" s="4">
        <v>7</v>
      </c>
      <c r="I236" s="4">
        <v>7</v>
      </c>
      <c r="J236" s="4">
        <v>2009</v>
      </c>
      <c r="K236" s="5" t="s">
        <v>723</v>
      </c>
      <c r="L236" s="6" t="s">
        <v>25</v>
      </c>
      <c r="M236" s="13">
        <v>172</v>
      </c>
      <c r="N236" s="13">
        <v>99</v>
      </c>
      <c r="O236" s="13">
        <v>0</v>
      </c>
      <c r="Q236" s="7">
        <f t="shared" si="0"/>
        <v>0.63468634686346859</v>
      </c>
      <c r="R236" s="7">
        <f t="shared" si="1"/>
        <v>0.36531365313653136</v>
      </c>
      <c r="S236" s="7">
        <f t="shared" si="2"/>
        <v>0</v>
      </c>
    </row>
    <row r="237" spans="1:19" ht="16" x14ac:dyDescent="0.2">
      <c r="A237" s="4">
        <v>172905</v>
      </c>
      <c r="B237" s="5" t="s">
        <v>724</v>
      </c>
      <c r="C237" s="5" t="s">
        <v>684</v>
      </c>
      <c r="D237" s="5"/>
      <c r="E237" s="5"/>
      <c r="F237" s="5" t="s">
        <v>35</v>
      </c>
      <c r="G237" s="5" t="s">
        <v>725</v>
      </c>
      <c r="H237" s="4">
        <v>8</v>
      </c>
      <c r="I237" s="4">
        <v>7</v>
      </c>
      <c r="J237" s="4">
        <v>2011</v>
      </c>
      <c r="K237" s="5" t="s">
        <v>726</v>
      </c>
      <c r="L237" s="6" t="s">
        <v>25</v>
      </c>
      <c r="M237" s="13">
        <v>160</v>
      </c>
      <c r="N237" s="13">
        <v>157</v>
      </c>
      <c r="O237" s="13">
        <v>0</v>
      </c>
      <c r="Q237" s="7">
        <f t="shared" si="0"/>
        <v>0.50473186119873814</v>
      </c>
      <c r="R237" s="7">
        <f t="shared" si="1"/>
        <v>0.4952681388012618</v>
      </c>
      <c r="S237" s="7">
        <f t="shared" si="2"/>
        <v>0</v>
      </c>
    </row>
    <row r="238" spans="1:19" ht="16" x14ac:dyDescent="0.2">
      <c r="A238" s="4">
        <v>176995</v>
      </c>
      <c r="B238" s="5" t="s">
        <v>727</v>
      </c>
      <c r="C238" s="5" t="s">
        <v>684</v>
      </c>
      <c r="D238" s="5"/>
      <c r="E238" s="5"/>
      <c r="F238" s="5" t="s">
        <v>159</v>
      </c>
      <c r="G238" s="5" t="s">
        <v>728</v>
      </c>
      <c r="H238" s="4">
        <v>25</v>
      </c>
      <c r="I238" s="4">
        <v>7</v>
      </c>
      <c r="J238" s="4">
        <v>2013</v>
      </c>
      <c r="K238" s="5" t="s">
        <v>729</v>
      </c>
      <c r="L238" s="6" t="s">
        <v>25</v>
      </c>
      <c r="M238" s="13">
        <v>0</v>
      </c>
      <c r="N238" s="13">
        <v>0</v>
      </c>
      <c r="O238" s="13">
        <v>47</v>
      </c>
      <c r="Q238" s="7">
        <f t="shared" si="0"/>
        <v>0</v>
      </c>
      <c r="R238" s="7">
        <f t="shared" si="1"/>
        <v>0</v>
      </c>
      <c r="S238" s="7">
        <f t="shared" si="2"/>
        <v>1</v>
      </c>
    </row>
    <row r="239" spans="1:19" ht="16" x14ac:dyDescent="0.2">
      <c r="A239" s="4">
        <v>176996</v>
      </c>
      <c r="B239" s="5" t="s">
        <v>730</v>
      </c>
      <c r="C239" s="5" t="s">
        <v>684</v>
      </c>
      <c r="D239" s="5"/>
      <c r="E239" s="5"/>
      <c r="F239" s="5" t="s">
        <v>35</v>
      </c>
      <c r="G239" s="5" t="s">
        <v>731</v>
      </c>
      <c r="H239" s="4">
        <v>25</v>
      </c>
      <c r="I239" s="4">
        <v>7</v>
      </c>
      <c r="J239" s="4">
        <v>2013</v>
      </c>
      <c r="K239" s="5" t="s">
        <v>732</v>
      </c>
      <c r="L239" s="6" t="s">
        <v>25</v>
      </c>
      <c r="M239" s="13">
        <v>0</v>
      </c>
      <c r="N239" s="13">
        <v>3</v>
      </c>
      <c r="O239" s="13">
        <v>31</v>
      </c>
      <c r="Q239" s="7">
        <f t="shared" si="0"/>
        <v>0</v>
      </c>
      <c r="R239" s="7">
        <f t="shared" si="1"/>
        <v>8.8235294117647065E-2</v>
      </c>
      <c r="S239" s="7">
        <f t="shared" si="2"/>
        <v>0.91176470588235292</v>
      </c>
    </row>
    <row r="240" spans="1:19" ht="16" x14ac:dyDescent="0.2">
      <c r="A240" s="4">
        <v>181667</v>
      </c>
      <c r="B240" s="5" t="s">
        <v>733</v>
      </c>
      <c r="C240" s="5" t="s">
        <v>684</v>
      </c>
      <c r="D240" s="5"/>
      <c r="E240" s="5"/>
      <c r="F240" s="5" t="s">
        <v>113</v>
      </c>
      <c r="G240" s="5" t="s">
        <v>734</v>
      </c>
      <c r="H240" s="4">
        <v>28</v>
      </c>
      <c r="I240" s="4">
        <v>7</v>
      </c>
      <c r="J240" s="4">
        <v>2015</v>
      </c>
      <c r="K240" s="5" t="s">
        <v>735</v>
      </c>
      <c r="L240" s="6" t="s">
        <v>25</v>
      </c>
      <c r="M240" s="13">
        <v>0</v>
      </c>
      <c r="N240" s="13">
        <v>0</v>
      </c>
      <c r="O240" s="13">
        <v>2</v>
      </c>
      <c r="Q240" s="7">
        <f t="shared" si="0"/>
        <v>0</v>
      </c>
      <c r="R240" s="7">
        <f t="shared" si="1"/>
        <v>0</v>
      </c>
      <c r="S240" s="7">
        <f t="shared" si="2"/>
        <v>1</v>
      </c>
    </row>
    <row r="241" spans="1:19" ht="16" x14ac:dyDescent="0.2">
      <c r="A241" s="4">
        <v>188231</v>
      </c>
      <c r="B241" s="5" t="s">
        <v>736</v>
      </c>
      <c r="C241" s="5" t="s">
        <v>684</v>
      </c>
      <c r="D241" s="5"/>
      <c r="E241" s="5"/>
      <c r="F241" s="5" t="s">
        <v>510</v>
      </c>
      <c r="G241" s="5" t="s">
        <v>737</v>
      </c>
      <c r="H241" s="4">
        <v>5</v>
      </c>
      <c r="I241" s="4">
        <v>6</v>
      </c>
      <c r="J241" s="4">
        <v>2019</v>
      </c>
      <c r="K241" s="5" t="s">
        <v>738</v>
      </c>
      <c r="L241" s="6" t="s">
        <v>25</v>
      </c>
      <c r="M241" s="13">
        <v>51</v>
      </c>
      <c r="N241" s="13">
        <v>0</v>
      </c>
      <c r="O241" s="13">
        <v>0</v>
      </c>
      <c r="Q241" s="7">
        <f t="shared" si="0"/>
        <v>1</v>
      </c>
      <c r="R241" s="7">
        <f t="shared" si="1"/>
        <v>0</v>
      </c>
      <c r="S241" s="7">
        <f t="shared" si="2"/>
        <v>0</v>
      </c>
    </row>
    <row r="242" spans="1:19" ht="16" x14ac:dyDescent="0.2">
      <c r="A242" s="4">
        <v>188235</v>
      </c>
      <c r="B242" s="5" t="s">
        <v>739</v>
      </c>
      <c r="C242" s="5" t="s">
        <v>684</v>
      </c>
      <c r="D242" s="5"/>
      <c r="E242" s="5"/>
      <c r="F242" s="5" t="s">
        <v>113</v>
      </c>
      <c r="G242" s="5" t="s">
        <v>740</v>
      </c>
      <c r="H242" s="4">
        <v>27</v>
      </c>
      <c r="I242" s="4">
        <v>6</v>
      </c>
      <c r="J242" s="4">
        <v>2019</v>
      </c>
      <c r="K242" s="5" t="s">
        <v>741</v>
      </c>
      <c r="L242" s="6" t="s">
        <v>25</v>
      </c>
      <c r="M242" s="13">
        <v>0</v>
      </c>
      <c r="N242" s="13">
        <v>0</v>
      </c>
      <c r="O242" s="13">
        <v>0</v>
      </c>
      <c r="Q242" s="7" t="e">
        <f t="shared" si="0"/>
        <v>#DIV/0!</v>
      </c>
      <c r="R242" s="7" t="e">
        <f t="shared" si="1"/>
        <v>#DIV/0!</v>
      </c>
      <c r="S242" s="7" t="e">
        <f t="shared" si="2"/>
        <v>#DIV/0!</v>
      </c>
    </row>
    <row r="243" spans="1:19" ht="16" x14ac:dyDescent="0.2">
      <c r="A243" s="4">
        <v>188451</v>
      </c>
      <c r="B243" s="5" t="s">
        <v>742</v>
      </c>
      <c r="C243" s="5" t="s">
        <v>684</v>
      </c>
      <c r="D243" s="5"/>
      <c r="E243" s="5"/>
      <c r="F243" s="5" t="s">
        <v>47</v>
      </c>
      <c r="G243" s="5" t="s">
        <v>743</v>
      </c>
      <c r="H243" s="4">
        <v>16</v>
      </c>
      <c r="I243" s="4">
        <v>8</v>
      </c>
      <c r="J243" s="4">
        <v>2018</v>
      </c>
      <c r="K243" s="5" t="s">
        <v>744</v>
      </c>
      <c r="L243" s="6" t="s">
        <v>25</v>
      </c>
      <c r="M243" s="13">
        <v>0</v>
      </c>
      <c r="N243" s="13">
        <v>0</v>
      </c>
      <c r="O243" s="13">
        <v>0</v>
      </c>
      <c r="Q243" s="7" t="e">
        <f t="shared" si="0"/>
        <v>#DIV/0!</v>
      </c>
      <c r="R243" s="7" t="e">
        <f t="shared" si="1"/>
        <v>#DIV/0!</v>
      </c>
      <c r="S243" s="7" t="e">
        <f t="shared" si="2"/>
        <v>#DIV/0!</v>
      </c>
    </row>
    <row r="244" spans="1:19" ht="16" x14ac:dyDescent="0.2">
      <c r="A244" s="4">
        <v>190645</v>
      </c>
      <c r="B244" s="5" t="s">
        <v>745</v>
      </c>
      <c r="C244" s="5" t="s">
        <v>684</v>
      </c>
      <c r="D244" s="5"/>
      <c r="E244" s="5"/>
      <c r="F244" s="5" t="s">
        <v>47</v>
      </c>
      <c r="G244" s="5" t="s">
        <v>746</v>
      </c>
      <c r="H244" s="4">
        <v>23</v>
      </c>
      <c r="I244" s="4">
        <v>9</v>
      </c>
      <c r="J244" s="4">
        <v>2020</v>
      </c>
      <c r="K244" s="5" t="s">
        <v>747</v>
      </c>
      <c r="L244" s="6" t="s">
        <v>25</v>
      </c>
      <c r="M244" s="13">
        <v>0</v>
      </c>
      <c r="N244" s="13">
        <v>0</v>
      </c>
      <c r="O244" s="13">
        <v>0</v>
      </c>
      <c r="Q244" s="7" t="e">
        <f t="shared" si="0"/>
        <v>#DIV/0!</v>
      </c>
      <c r="R244" s="7" t="e">
        <f t="shared" si="1"/>
        <v>#DIV/0!</v>
      </c>
      <c r="S244" s="7" t="e">
        <f t="shared" si="2"/>
        <v>#DIV/0!</v>
      </c>
    </row>
    <row r="245" spans="1:19" ht="16" x14ac:dyDescent="0.2">
      <c r="A245" s="5">
        <v>196263</v>
      </c>
      <c r="B245" s="5"/>
      <c r="C245" s="5" t="s">
        <v>684</v>
      </c>
      <c r="D245" s="5"/>
      <c r="E245" s="5"/>
      <c r="F245" s="5" t="s">
        <v>258</v>
      </c>
      <c r="G245" s="5" t="s">
        <v>748</v>
      </c>
      <c r="H245" s="4">
        <v>5</v>
      </c>
      <c r="I245" s="4">
        <v>6</v>
      </c>
      <c r="J245" s="4">
        <v>2019</v>
      </c>
      <c r="K245" s="5" t="s">
        <v>749</v>
      </c>
      <c r="L245" s="6" t="s">
        <v>25</v>
      </c>
      <c r="M245" s="13">
        <v>0</v>
      </c>
      <c r="N245" s="13">
        <v>0</v>
      </c>
      <c r="O245" s="13">
        <v>0</v>
      </c>
      <c r="Q245" s="7" t="e">
        <f t="shared" si="0"/>
        <v>#DIV/0!</v>
      </c>
      <c r="R245" s="7" t="e">
        <f t="shared" si="1"/>
        <v>#DIV/0!</v>
      </c>
      <c r="S245" s="7" t="e">
        <f t="shared" si="2"/>
        <v>#DIV/0!</v>
      </c>
    </row>
    <row r="246" spans="1:19" ht="16" x14ac:dyDescent="0.2">
      <c r="A246" s="4">
        <v>34698</v>
      </c>
      <c r="B246" s="5" t="s">
        <v>750</v>
      </c>
      <c r="C246" s="5" t="s">
        <v>751</v>
      </c>
      <c r="D246" s="5"/>
      <c r="E246" s="5"/>
      <c r="F246" s="5" t="s">
        <v>119</v>
      </c>
      <c r="G246" s="4">
        <v>4447</v>
      </c>
      <c r="H246" s="4">
        <v>6</v>
      </c>
      <c r="I246" s="4">
        <v>10</v>
      </c>
      <c r="J246" s="4">
        <v>1978</v>
      </c>
      <c r="K246" s="5" t="s">
        <v>752</v>
      </c>
      <c r="L246" s="6" t="s">
        <v>25</v>
      </c>
      <c r="M246" s="13">
        <v>0</v>
      </c>
      <c r="N246" s="13">
        <v>0</v>
      </c>
      <c r="O246" s="13">
        <v>11</v>
      </c>
      <c r="Q246" s="7">
        <f t="shared" si="0"/>
        <v>0</v>
      </c>
      <c r="R246" s="7">
        <f t="shared" si="1"/>
        <v>0</v>
      </c>
      <c r="S246" s="7">
        <f t="shared" si="2"/>
        <v>1</v>
      </c>
    </row>
    <row r="247" spans="1:19" ht="16" x14ac:dyDescent="0.2">
      <c r="A247" s="4">
        <v>36845</v>
      </c>
      <c r="B247" s="5" t="s">
        <v>753</v>
      </c>
      <c r="C247" s="5" t="s">
        <v>751</v>
      </c>
      <c r="D247" s="5"/>
      <c r="E247" s="5"/>
      <c r="F247" s="5" t="s">
        <v>180</v>
      </c>
      <c r="G247" s="4">
        <v>7917</v>
      </c>
      <c r="H247" s="4">
        <v>6</v>
      </c>
      <c r="I247" s="4">
        <v>7</v>
      </c>
      <c r="J247" s="4">
        <v>1979</v>
      </c>
      <c r="K247" s="5" t="s">
        <v>754</v>
      </c>
      <c r="L247" s="6" t="s">
        <v>25</v>
      </c>
      <c r="M247" s="13">
        <v>0</v>
      </c>
      <c r="N247" s="13">
        <v>0</v>
      </c>
      <c r="O247" s="13">
        <v>11</v>
      </c>
      <c r="Q247" s="7">
        <f t="shared" si="0"/>
        <v>0</v>
      </c>
      <c r="R247" s="7">
        <f t="shared" si="1"/>
        <v>0</v>
      </c>
      <c r="S247" s="7">
        <f t="shared" si="2"/>
        <v>1</v>
      </c>
    </row>
    <row r="248" spans="1:19" ht="16" x14ac:dyDescent="0.2">
      <c r="A248" s="4">
        <v>36846</v>
      </c>
      <c r="B248" s="5" t="s">
        <v>755</v>
      </c>
      <c r="C248" s="5" t="s">
        <v>751</v>
      </c>
      <c r="D248" s="5"/>
      <c r="E248" s="5"/>
      <c r="F248" s="5" t="s">
        <v>180</v>
      </c>
      <c r="G248" s="4">
        <v>7913</v>
      </c>
      <c r="H248" s="4">
        <v>6</v>
      </c>
      <c r="I248" s="4">
        <v>7</v>
      </c>
      <c r="J248" s="4">
        <v>1979</v>
      </c>
      <c r="K248" s="5" t="s">
        <v>756</v>
      </c>
      <c r="L248" s="6" t="s">
        <v>25</v>
      </c>
      <c r="M248" s="13">
        <v>0</v>
      </c>
      <c r="N248" s="13">
        <v>0</v>
      </c>
      <c r="O248" s="13">
        <v>10</v>
      </c>
      <c r="Q248" s="7">
        <f t="shared" si="0"/>
        <v>0</v>
      </c>
      <c r="R248" s="7">
        <f t="shared" si="1"/>
        <v>0</v>
      </c>
      <c r="S248" s="7">
        <f t="shared" si="2"/>
        <v>1</v>
      </c>
    </row>
    <row r="249" spans="1:19" ht="16" x14ac:dyDescent="0.2">
      <c r="A249" s="4">
        <v>93265</v>
      </c>
      <c r="B249" s="5" t="s">
        <v>757</v>
      </c>
      <c r="C249" s="5" t="s">
        <v>751</v>
      </c>
      <c r="D249" s="5"/>
      <c r="E249" s="5"/>
      <c r="F249" s="5" t="s">
        <v>31</v>
      </c>
      <c r="G249" s="5" t="s">
        <v>758</v>
      </c>
      <c r="H249" s="4">
        <v>17</v>
      </c>
      <c r="I249" s="4">
        <v>7</v>
      </c>
      <c r="J249" s="4">
        <v>1990</v>
      </c>
      <c r="K249" s="5" t="s">
        <v>759</v>
      </c>
      <c r="L249" s="6" t="s">
        <v>25</v>
      </c>
      <c r="M249" s="13">
        <v>0</v>
      </c>
      <c r="N249" s="13">
        <v>0</v>
      </c>
      <c r="O249" s="13">
        <v>32</v>
      </c>
      <c r="Q249" s="7">
        <f t="shared" si="0"/>
        <v>0</v>
      </c>
      <c r="R249" s="7">
        <f t="shared" si="1"/>
        <v>0</v>
      </c>
      <c r="S249" s="7">
        <f t="shared" si="2"/>
        <v>1</v>
      </c>
    </row>
    <row r="250" spans="1:19" ht="16" x14ac:dyDescent="0.2">
      <c r="A250" s="4">
        <v>94005</v>
      </c>
      <c r="B250" s="5" t="s">
        <v>760</v>
      </c>
      <c r="C250" s="5" t="s">
        <v>751</v>
      </c>
      <c r="D250" s="5"/>
      <c r="E250" s="5"/>
      <c r="F250" s="5" t="s">
        <v>761</v>
      </c>
      <c r="G250" s="5" t="s">
        <v>762</v>
      </c>
      <c r="H250" s="4">
        <v>17</v>
      </c>
      <c r="I250" s="4">
        <v>7</v>
      </c>
      <c r="J250" s="4">
        <v>1990</v>
      </c>
      <c r="K250" s="5" t="s">
        <v>763</v>
      </c>
      <c r="L250" s="6" t="s">
        <v>25</v>
      </c>
      <c r="M250" s="13">
        <v>0</v>
      </c>
      <c r="N250" s="13">
        <v>0</v>
      </c>
      <c r="O250" s="13">
        <v>24</v>
      </c>
      <c r="Q250" s="7">
        <f t="shared" si="0"/>
        <v>0</v>
      </c>
      <c r="R250" s="7">
        <f t="shared" si="1"/>
        <v>0</v>
      </c>
      <c r="S250" s="7">
        <f t="shared" si="2"/>
        <v>1</v>
      </c>
    </row>
    <row r="251" spans="1:19" ht="16" x14ac:dyDescent="0.2">
      <c r="A251" s="4">
        <v>97888</v>
      </c>
      <c r="B251" s="5" t="s">
        <v>764</v>
      </c>
      <c r="C251" s="5" t="s">
        <v>751</v>
      </c>
      <c r="D251" s="5"/>
      <c r="E251" s="5"/>
      <c r="F251" s="5" t="s">
        <v>125</v>
      </c>
      <c r="G251" s="5" t="s">
        <v>765</v>
      </c>
      <c r="H251" s="4">
        <v>20</v>
      </c>
      <c r="I251" s="4">
        <v>6</v>
      </c>
      <c r="J251" s="4">
        <v>1991</v>
      </c>
      <c r="K251" s="5" t="s">
        <v>766</v>
      </c>
      <c r="L251" s="6" t="s">
        <v>25</v>
      </c>
      <c r="M251" s="13">
        <v>0</v>
      </c>
      <c r="N251" s="13">
        <v>1</v>
      </c>
      <c r="O251" s="13">
        <v>4</v>
      </c>
      <c r="Q251" s="7">
        <f t="shared" si="0"/>
        <v>0</v>
      </c>
      <c r="R251" s="7">
        <f t="shared" si="1"/>
        <v>0.2</v>
      </c>
      <c r="S251" s="7">
        <f t="shared" si="2"/>
        <v>0.8</v>
      </c>
    </row>
    <row r="252" spans="1:19" ht="16" x14ac:dyDescent="0.2">
      <c r="A252" s="4">
        <v>105005</v>
      </c>
      <c r="B252" s="5" t="s">
        <v>767</v>
      </c>
      <c r="C252" s="5" t="s">
        <v>751</v>
      </c>
      <c r="D252" s="5"/>
      <c r="E252" s="5"/>
      <c r="F252" s="5" t="s">
        <v>119</v>
      </c>
      <c r="G252" s="5" t="s">
        <v>768</v>
      </c>
      <c r="H252" s="4">
        <v>9</v>
      </c>
      <c r="I252" s="4">
        <v>7</v>
      </c>
      <c r="J252" s="4">
        <v>1992</v>
      </c>
      <c r="K252" s="5" t="s">
        <v>769</v>
      </c>
      <c r="L252" s="6" t="s">
        <v>25</v>
      </c>
      <c r="M252" s="13">
        <v>0</v>
      </c>
      <c r="N252" s="13">
        <v>0</v>
      </c>
      <c r="O252" s="13">
        <v>0</v>
      </c>
      <c r="Q252" s="7" t="e">
        <f t="shared" si="0"/>
        <v>#DIV/0!</v>
      </c>
      <c r="R252" s="7" t="e">
        <f t="shared" si="1"/>
        <v>#DIV/0!</v>
      </c>
      <c r="S252" s="7" t="e">
        <f t="shared" si="2"/>
        <v>#DIV/0!</v>
      </c>
    </row>
    <row r="253" spans="1:19" ht="16" x14ac:dyDescent="0.2">
      <c r="A253" s="4">
        <v>112867</v>
      </c>
      <c r="B253" s="5" t="s">
        <v>770</v>
      </c>
      <c r="C253" s="5" t="s">
        <v>751</v>
      </c>
      <c r="D253" s="5"/>
      <c r="E253" s="5"/>
      <c r="F253" s="5" t="s">
        <v>125</v>
      </c>
      <c r="G253" s="5" t="s">
        <v>771</v>
      </c>
      <c r="H253" s="4">
        <v>22</v>
      </c>
      <c r="I253" s="4">
        <v>6</v>
      </c>
      <c r="J253" s="4">
        <v>1993</v>
      </c>
      <c r="K253" s="5" t="s">
        <v>772</v>
      </c>
      <c r="L253" s="6" t="s">
        <v>25</v>
      </c>
      <c r="M253" s="13">
        <v>13</v>
      </c>
      <c r="N253" s="13">
        <v>44</v>
      </c>
      <c r="O253" s="13">
        <v>6</v>
      </c>
      <c r="Q253" s="7">
        <f t="shared" si="0"/>
        <v>0.20634920634920634</v>
      </c>
      <c r="R253" s="7">
        <f t="shared" si="1"/>
        <v>0.69841269841269837</v>
      </c>
      <c r="S253" s="7">
        <f t="shared" si="2"/>
        <v>9.5238095238095233E-2</v>
      </c>
    </row>
    <row r="254" spans="1:19" ht="16" x14ac:dyDescent="0.2">
      <c r="A254" s="4">
        <v>112875</v>
      </c>
      <c r="B254" s="5" t="s">
        <v>773</v>
      </c>
      <c r="C254" s="5" t="s">
        <v>751</v>
      </c>
      <c r="D254" s="5"/>
      <c r="E254" s="5"/>
      <c r="F254" s="5" t="s">
        <v>125</v>
      </c>
      <c r="G254" s="5" t="s">
        <v>774</v>
      </c>
      <c r="H254" s="4">
        <v>22</v>
      </c>
      <c r="I254" s="4">
        <v>6</v>
      </c>
      <c r="J254" s="4">
        <v>1993</v>
      </c>
      <c r="K254" s="5" t="s">
        <v>763</v>
      </c>
      <c r="L254" s="6" t="s">
        <v>25</v>
      </c>
      <c r="M254" s="13">
        <v>3</v>
      </c>
      <c r="N254" s="13">
        <v>85</v>
      </c>
      <c r="O254" s="13">
        <v>16</v>
      </c>
      <c r="Q254" s="7">
        <f t="shared" si="0"/>
        <v>2.8846153846153848E-2</v>
      </c>
      <c r="R254" s="7">
        <f t="shared" si="1"/>
        <v>0.81730769230769229</v>
      </c>
      <c r="S254" s="7">
        <f t="shared" si="2"/>
        <v>0.15384615384615385</v>
      </c>
    </row>
    <row r="255" spans="1:19" ht="16" x14ac:dyDescent="0.2">
      <c r="A255" s="4">
        <v>120597</v>
      </c>
      <c r="B255" s="5" t="s">
        <v>775</v>
      </c>
      <c r="C255" s="5" t="s">
        <v>751</v>
      </c>
      <c r="D255" s="5"/>
      <c r="E255" s="5"/>
      <c r="F255" s="5" t="s">
        <v>31</v>
      </c>
      <c r="G255" s="5" t="s">
        <v>776</v>
      </c>
      <c r="H255" s="4">
        <v>16</v>
      </c>
      <c r="I255" s="4">
        <v>8</v>
      </c>
      <c r="J255" s="4">
        <v>1994</v>
      </c>
      <c r="K255" s="5" t="s">
        <v>777</v>
      </c>
      <c r="L255" s="6" t="s">
        <v>25</v>
      </c>
      <c r="M255" s="13">
        <v>0</v>
      </c>
      <c r="N255" s="13">
        <v>0</v>
      </c>
      <c r="O255" s="13">
        <v>10</v>
      </c>
      <c r="Q255" s="7">
        <f t="shared" si="0"/>
        <v>0</v>
      </c>
      <c r="R255" s="7">
        <f t="shared" si="1"/>
        <v>0</v>
      </c>
      <c r="S255" s="7">
        <f t="shared" si="2"/>
        <v>1</v>
      </c>
    </row>
    <row r="256" spans="1:19" ht="16" x14ac:dyDescent="0.2">
      <c r="A256" s="4">
        <v>142716</v>
      </c>
      <c r="B256" s="5" t="s">
        <v>778</v>
      </c>
      <c r="C256" s="5" t="s">
        <v>751</v>
      </c>
      <c r="D256" s="5"/>
      <c r="E256" s="5"/>
      <c r="F256" s="5" t="s">
        <v>250</v>
      </c>
      <c r="G256" s="5" t="s">
        <v>779</v>
      </c>
      <c r="H256" s="4">
        <v>15</v>
      </c>
      <c r="I256" s="4">
        <v>6</v>
      </c>
      <c r="J256" s="4">
        <v>1998</v>
      </c>
      <c r="K256" s="5" t="s">
        <v>769</v>
      </c>
      <c r="L256" s="6" t="s">
        <v>25</v>
      </c>
      <c r="M256" s="13">
        <v>10</v>
      </c>
      <c r="N256" s="13">
        <v>17</v>
      </c>
      <c r="O256" s="13">
        <v>2</v>
      </c>
      <c r="Q256" s="7">
        <f t="shared" si="0"/>
        <v>0.34482758620689657</v>
      </c>
      <c r="R256" s="7">
        <f t="shared" si="1"/>
        <v>0.58620689655172409</v>
      </c>
      <c r="S256" s="7">
        <f t="shared" si="2"/>
        <v>6.8965517241379309E-2</v>
      </c>
    </row>
    <row r="257" spans="1:19" ht="16" x14ac:dyDescent="0.2">
      <c r="A257" s="4">
        <v>153302</v>
      </c>
      <c r="B257" s="5" t="s">
        <v>780</v>
      </c>
      <c r="C257" s="5" t="s">
        <v>751</v>
      </c>
      <c r="D257" s="5"/>
      <c r="E257" s="5"/>
      <c r="F257" s="5" t="s">
        <v>180</v>
      </c>
      <c r="G257" s="5" t="s">
        <v>781</v>
      </c>
      <c r="H257" s="4">
        <v>2</v>
      </c>
      <c r="I257" s="4">
        <v>8</v>
      </c>
      <c r="J257" s="4">
        <v>1979</v>
      </c>
      <c r="K257" s="5" t="s">
        <v>782</v>
      </c>
      <c r="L257" s="6" t="s">
        <v>25</v>
      </c>
      <c r="M257" s="13">
        <v>0</v>
      </c>
      <c r="N257" s="13">
        <v>0</v>
      </c>
      <c r="O257" s="13">
        <v>0</v>
      </c>
      <c r="Q257" s="7" t="e">
        <f t="shared" ref="Q257:Q372" si="3">(M257/(M257+ N257 +O257))</f>
        <v>#DIV/0!</v>
      </c>
      <c r="R257" s="7" t="e">
        <f t="shared" ref="R257:R372" si="4">(N257/(M257+ N257 +O257))</f>
        <v>#DIV/0!</v>
      </c>
      <c r="S257" s="7" t="e">
        <f t="shared" ref="S257:S372" si="5">(O257/(M257+ N257 +O257))</f>
        <v>#DIV/0!</v>
      </c>
    </row>
    <row r="258" spans="1:19" ht="16" x14ac:dyDescent="0.2">
      <c r="A258" s="4">
        <v>154087</v>
      </c>
      <c r="B258" s="5" t="s">
        <v>783</v>
      </c>
      <c r="C258" s="5" t="s">
        <v>751</v>
      </c>
      <c r="D258" s="5"/>
      <c r="E258" s="5"/>
      <c r="F258" s="5" t="s">
        <v>31</v>
      </c>
      <c r="G258" s="5" t="s">
        <v>784</v>
      </c>
      <c r="H258" s="4">
        <v>17</v>
      </c>
      <c r="I258" s="4">
        <v>7</v>
      </c>
      <c r="J258" s="4">
        <v>2001</v>
      </c>
      <c r="K258" s="5" t="s">
        <v>769</v>
      </c>
      <c r="L258" s="6" t="s">
        <v>25</v>
      </c>
      <c r="M258" s="13">
        <v>0</v>
      </c>
      <c r="N258" s="13">
        <v>0</v>
      </c>
      <c r="O258" s="13">
        <v>15</v>
      </c>
      <c r="Q258" s="7">
        <f t="shared" si="3"/>
        <v>0</v>
      </c>
      <c r="R258" s="7">
        <f t="shared" si="4"/>
        <v>0</v>
      </c>
      <c r="S258" s="7">
        <f t="shared" si="5"/>
        <v>1</v>
      </c>
    </row>
    <row r="259" spans="1:19" ht="16" x14ac:dyDescent="0.2">
      <c r="A259" s="4">
        <v>187825</v>
      </c>
      <c r="B259" s="5" t="s">
        <v>785</v>
      </c>
      <c r="C259" s="5" t="s">
        <v>751</v>
      </c>
      <c r="D259" s="5"/>
      <c r="E259" s="5"/>
      <c r="F259" s="5" t="s">
        <v>47</v>
      </c>
      <c r="G259" s="5" t="s">
        <v>786</v>
      </c>
      <c r="H259" s="4">
        <v>16</v>
      </c>
      <c r="I259" s="4">
        <v>8</v>
      </c>
      <c r="J259" s="4">
        <v>2018</v>
      </c>
      <c r="K259" s="5" t="s">
        <v>787</v>
      </c>
      <c r="L259" s="6" t="s">
        <v>25</v>
      </c>
      <c r="M259" s="13">
        <v>0</v>
      </c>
      <c r="N259" s="13">
        <v>0</v>
      </c>
      <c r="O259" s="13">
        <v>0</v>
      </c>
      <c r="Q259" s="7" t="e">
        <f t="shared" si="3"/>
        <v>#DIV/0!</v>
      </c>
      <c r="R259" s="7" t="e">
        <f t="shared" si="4"/>
        <v>#DIV/0!</v>
      </c>
      <c r="S259" s="7" t="e">
        <f t="shared" si="5"/>
        <v>#DIV/0!</v>
      </c>
    </row>
    <row r="260" spans="1:19" ht="16" x14ac:dyDescent="0.2">
      <c r="A260" s="4">
        <v>187843</v>
      </c>
      <c r="B260" s="5" t="s">
        <v>788</v>
      </c>
      <c r="C260" s="5" t="s">
        <v>789</v>
      </c>
      <c r="D260" s="14"/>
      <c r="E260" s="14"/>
      <c r="F260" s="5" t="s">
        <v>47</v>
      </c>
      <c r="G260" s="5" t="s">
        <v>790</v>
      </c>
      <c r="H260" s="4">
        <v>28</v>
      </c>
      <c r="I260" s="4">
        <v>8</v>
      </c>
      <c r="J260" s="4">
        <v>2018</v>
      </c>
      <c r="K260" s="5" t="s">
        <v>791</v>
      </c>
      <c r="L260" s="6" t="s">
        <v>25</v>
      </c>
      <c r="M260" s="13">
        <v>0</v>
      </c>
      <c r="N260" s="13">
        <v>0</v>
      </c>
      <c r="O260" s="13">
        <v>0</v>
      </c>
      <c r="Q260" s="7" t="e">
        <f t="shared" si="3"/>
        <v>#DIV/0!</v>
      </c>
      <c r="R260" s="7" t="e">
        <f t="shared" si="4"/>
        <v>#DIV/0!</v>
      </c>
      <c r="S260" s="7" t="e">
        <f t="shared" si="5"/>
        <v>#DIV/0!</v>
      </c>
    </row>
    <row r="261" spans="1:19" ht="16" x14ac:dyDescent="0.2">
      <c r="A261" s="4">
        <v>187839</v>
      </c>
      <c r="B261" s="5" t="s">
        <v>792</v>
      </c>
      <c r="C261" s="5" t="s">
        <v>793</v>
      </c>
      <c r="D261" s="5"/>
      <c r="E261" s="5"/>
      <c r="F261" s="5" t="s">
        <v>47</v>
      </c>
      <c r="G261" s="5" t="s">
        <v>794</v>
      </c>
      <c r="H261" s="4">
        <v>16</v>
      </c>
      <c r="I261" s="4">
        <v>8</v>
      </c>
      <c r="J261" s="4">
        <v>2018</v>
      </c>
      <c r="K261" s="5" t="s">
        <v>795</v>
      </c>
      <c r="L261" s="6" t="s">
        <v>25</v>
      </c>
      <c r="M261" s="13">
        <v>0</v>
      </c>
      <c r="N261" s="13">
        <v>0</v>
      </c>
      <c r="O261" s="13">
        <v>0</v>
      </c>
      <c r="Q261" s="7" t="e">
        <f t="shared" si="3"/>
        <v>#DIV/0!</v>
      </c>
      <c r="R261" s="7" t="e">
        <f t="shared" si="4"/>
        <v>#DIV/0!</v>
      </c>
      <c r="S261" s="7" t="e">
        <f t="shared" si="5"/>
        <v>#DIV/0!</v>
      </c>
    </row>
    <row r="262" spans="1:19" ht="16" x14ac:dyDescent="0.2">
      <c r="A262" s="4">
        <v>28150</v>
      </c>
      <c r="B262" s="5" t="s">
        <v>796</v>
      </c>
      <c r="C262" s="5" t="s">
        <v>797</v>
      </c>
      <c r="D262" s="5"/>
      <c r="E262" s="5"/>
      <c r="F262" s="5" t="s">
        <v>798</v>
      </c>
      <c r="G262" s="5" t="s">
        <v>167</v>
      </c>
      <c r="H262" s="4">
        <v>28</v>
      </c>
      <c r="I262" s="4">
        <v>7</v>
      </c>
      <c r="J262" s="4">
        <v>1964</v>
      </c>
      <c r="K262" s="5" t="s">
        <v>799</v>
      </c>
      <c r="L262" s="6" t="s">
        <v>25</v>
      </c>
      <c r="M262" s="13">
        <v>0</v>
      </c>
      <c r="N262" s="13">
        <v>0</v>
      </c>
      <c r="O262" s="13">
        <v>0</v>
      </c>
      <c r="Q262" s="7" t="e">
        <f t="shared" si="3"/>
        <v>#DIV/0!</v>
      </c>
      <c r="R262" s="7" t="e">
        <f t="shared" si="4"/>
        <v>#DIV/0!</v>
      </c>
      <c r="S262" s="7" t="e">
        <f t="shared" si="5"/>
        <v>#DIV/0!</v>
      </c>
    </row>
    <row r="263" spans="1:19" ht="16" x14ac:dyDescent="0.2">
      <c r="A263" s="4">
        <v>28151</v>
      </c>
      <c r="B263" s="5" t="s">
        <v>800</v>
      </c>
      <c r="C263" s="5" t="s">
        <v>797</v>
      </c>
      <c r="D263" s="5"/>
      <c r="E263" s="5"/>
      <c r="F263" s="5" t="s">
        <v>801</v>
      </c>
      <c r="G263" s="5" t="s">
        <v>167</v>
      </c>
      <c r="H263" s="4">
        <v>17</v>
      </c>
      <c r="I263" s="4">
        <v>7</v>
      </c>
      <c r="J263" s="4">
        <v>1951</v>
      </c>
      <c r="K263" s="5" t="s">
        <v>802</v>
      </c>
      <c r="L263" s="6" t="s">
        <v>25</v>
      </c>
      <c r="M263" s="13">
        <v>0</v>
      </c>
      <c r="N263" s="13">
        <v>0</v>
      </c>
      <c r="O263" s="13">
        <v>0</v>
      </c>
      <c r="Q263" s="7" t="e">
        <f t="shared" si="3"/>
        <v>#DIV/0!</v>
      </c>
      <c r="R263" s="7" t="e">
        <f t="shared" si="4"/>
        <v>#DIV/0!</v>
      </c>
      <c r="S263" s="7" t="e">
        <f t="shared" si="5"/>
        <v>#DIV/0!</v>
      </c>
    </row>
    <row r="264" spans="1:19" ht="16" x14ac:dyDescent="0.2">
      <c r="A264" s="4">
        <v>28152</v>
      </c>
      <c r="B264" s="5" t="s">
        <v>803</v>
      </c>
      <c r="C264" s="5" t="s">
        <v>797</v>
      </c>
      <c r="D264" s="5"/>
      <c r="E264" s="5"/>
      <c r="F264" s="5" t="s">
        <v>801</v>
      </c>
      <c r="G264" s="5" t="s">
        <v>167</v>
      </c>
      <c r="H264" s="4">
        <v>10</v>
      </c>
      <c r="I264" s="4">
        <v>6</v>
      </c>
      <c r="J264" s="4">
        <v>1948</v>
      </c>
      <c r="K264" s="5" t="s">
        <v>804</v>
      </c>
      <c r="L264" s="6" t="s">
        <v>25</v>
      </c>
      <c r="M264" s="13">
        <v>0</v>
      </c>
      <c r="N264" s="13">
        <v>0</v>
      </c>
      <c r="O264" s="13">
        <v>0</v>
      </c>
      <c r="Q264" s="7" t="e">
        <f t="shared" si="3"/>
        <v>#DIV/0!</v>
      </c>
      <c r="R264" s="7" t="e">
        <f t="shared" si="4"/>
        <v>#DIV/0!</v>
      </c>
      <c r="S264" s="7" t="e">
        <f t="shared" si="5"/>
        <v>#DIV/0!</v>
      </c>
    </row>
    <row r="265" spans="1:19" ht="16" x14ac:dyDescent="0.2">
      <c r="A265" s="4">
        <v>93113</v>
      </c>
      <c r="B265" s="5" t="s">
        <v>805</v>
      </c>
      <c r="C265" s="5" t="s">
        <v>797</v>
      </c>
      <c r="D265" s="5"/>
      <c r="E265" s="5"/>
      <c r="F265" s="5" t="s">
        <v>31</v>
      </c>
      <c r="G265" s="5" t="s">
        <v>806</v>
      </c>
      <c r="H265" s="4">
        <v>17</v>
      </c>
      <c r="I265" s="4">
        <v>7</v>
      </c>
      <c r="J265" s="4">
        <v>1990</v>
      </c>
      <c r="K265" s="5" t="s">
        <v>807</v>
      </c>
      <c r="L265" s="6" t="s">
        <v>25</v>
      </c>
      <c r="M265" s="13">
        <v>0</v>
      </c>
      <c r="N265" s="13">
        <v>0</v>
      </c>
      <c r="O265" s="13">
        <v>6</v>
      </c>
      <c r="Q265" s="7">
        <f t="shared" si="3"/>
        <v>0</v>
      </c>
      <c r="R265" s="7">
        <f t="shared" si="4"/>
        <v>0</v>
      </c>
      <c r="S265" s="7">
        <f t="shared" si="5"/>
        <v>1</v>
      </c>
    </row>
    <row r="266" spans="1:19" ht="16" x14ac:dyDescent="0.2">
      <c r="A266" s="4">
        <v>112846</v>
      </c>
      <c r="B266" s="5" t="s">
        <v>808</v>
      </c>
      <c r="C266" s="5" t="s">
        <v>797</v>
      </c>
      <c r="D266" s="14"/>
      <c r="E266" s="14"/>
      <c r="F266" s="5" t="s">
        <v>186</v>
      </c>
      <c r="G266" s="5" t="s">
        <v>809</v>
      </c>
      <c r="H266" s="4">
        <v>23</v>
      </c>
      <c r="I266" s="4">
        <v>6</v>
      </c>
      <c r="J266" s="4">
        <v>1993</v>
      </c>
      <c r="K266" s="5" t="s">
        <v>810</v>
      </c>
      <c r="L266" s="6" t="s">
        <v>25</v>
      </c>
      <c r="M266" s="13">
        <v>15</v>
      </c>
      <c r="N266" s="13">
        <v>57</v>
      </c>
      <c r="O266" s="13">
        <v>0</v>
      </c>
      <c r="Q266" s="7">
        <f t="shared" si="3"/>
        <v>0.20833333333333334</v>
      </c>
      <c r="R266" s="7">
        <f t="shared" si="4"/>
        <v>0.79166666666666663</v>
      </c>
      <c r="S266" s="7">
        <f t="shared" si="5"/>
        <v>0</v>
      </c>
    </row>
    <row r="267" spans="1:19" ht="16" x14ac:dyDescent="0.2">
      <c r="A267" s="4">
        <v>112869</v>
      </c>
      <c r="B267" s="5" t="s">
        <v>811</v>
      </c>
      <c r="C267" s="5" t="s">
        <v>797</v>
      </c>
      <c r="D267" s="5"/>
      <c r="E267" s="5"/>
      <c r="F267" s="5" t="s">
        <v>125</v>
      </c>
      <c r="G267" s="5" t="s">
        <v>812</v>
      </c>
      <c r="H267" s="4">
        <v>22</v>
      </c>
      <c r="I267" s="4">
        <v>6</v>
      </c>
      <c r="J267" s="4">
        <v>1993</v>
      </c>
      <c r="K267" s="5" t="s">
        <v>813</v>
      </c>
      <c r="L267" s="6" t="s">
        <v>25</v>
      </c>
      <c r="M267" s="13">
        <v>27</v>
      </c>
      <c r="N267" s="13">
        <v>123</v>
      </c>
      <c r="O267" s="13">
        <v>5</v>
      </c>
      <c r="Q267" s="7">
        <f t="shared" si="3"/>
        <v>0.17419354838709677</v>
      </c>
      <c r="R267" s="7">
        <f t="shared" si="4"/>
        <v>0.79354838709677422</v>
      </c>
      <c r="S267" s="7">
        <f t="shared" si="5"/>
        <v>3.2258064516129031E-2</v>
      </c>
    </row>
    <row r="268" spans="1:19" ht="16" x14ac:dyDescent="0.2">
      <c r="A268" s="4">
        <v>112870</v>
      </c>
      <c r="B268" s="5" t="s">
        <v>814</v>
      </c>
      <c r="C268" s="5" t="s">
        <v>797</v>
      </c>
      <c r="D268" s="5"/>
      <c r="E268" s="5"/>
      <c r="F268" s="5" t="s">
        <v>125</v>
      </c>
      <c r="G268" s="5" t="s">
        <v>815</v>
      </c>
      <c r="H268" s="4">
        <v>22</v>
      </c>
      <c r="I268" s="4">
        <v>6</v>
      </c>
      <c r="J268" s="4">
        <v>1993</v>
      </c>
      <c r="K268" s="5" t="s">
        <v>816</v>
      </c>
      <c r="L268" s="6" t="s">
        <v>25</v>
      </c>
      <c r="M268" s="13">
        <v>0</v>
      </c>
      <c r="N268" s="13">
        <v>16</v>
      </c>
      <c r="O268" s="13">
        <v>5</v>
      </c>
      <c r="Q268" s="7">
        <f t="shared" si="3"/>
        <v>0</v>
      </c>
      <c r="R268" s="7">
        <f t="shared" si="4"/>
        <v>0.76190476190476186</v>
      </c>
      <c r="S268" s="7">
        <f t="shared" si="5"/>
        <v>0.23809523809523808</v>
      </c>
    </row>
    <row r="269" spans="1:19" ht="16" x14ac:dyDescent="0.2">
      <c r="A269" s="4">
        <v>112871</v>
      </c>
      <c r="B269" s="5" t="s">
        <v>817</v>
      </c>
      <c r="C269" s="5" t="s">
        <v>797</v>
      </c>
      <c r="D269" s="5"/>
      <c r="E269" s="5"/>
      <c r="F269" s="5" t="s">
        <v>125</v>
      </c>
      <c r="G269" s="5" t="s">
        <v>818</v>
      </c>
      <c r="H269" s="4">
        <v>22</v>
      </c>
      <c r="I269" s="4">
        <v>6</v>
      </c>
      <c r="J269" s="4">
        <v>1993</v>
      </c>
      <c r="K269" s="5" t="s">
        <v>819</v>
      </c>
      <c r="L269" s="6" t="s">
        <v>25</v>
      </c>
      <c r="M269" s="13">
        <v>13</v>
      </c>
      <c r="N269" s="13">
        <v>58</v>
      </c>
      <c r="O269" s="13">
        <v>3</v>
      </c>
      <c r="Q269" s="7">
        <f t="shared" si="3"/>
        <v>0.17567567567567569</v>
      </c>
      <c r="R269" s="7">
        <f t="shared" si="4"/>
        <v>0.78378378378378377</v>
      </c>
      <c r="S269" s="7">
        <f t="shared" si="5"/>
        <v>4.0540540540540543E-2</v>
      </c>
    </row>
    <row r="270" spans="1:19" ht="16" x14ac:dyDescent="0.2">
      <c r="A270" s="4">
        <v>177679</v>
      </c>
      <c r="B270" s="5" t="s">
        <v>820</v>
      </c>
      <c r="C270" s="5" t="s">
        <v>797</v>
      </c>
      <c r="D270" s="5"/>
      <c r="E270" s="5"/>
      <c r="F270" s="5" t="s">
        <v>277</v>
      </c>
      <c r="G270" s="5" t="s">
        <v>821</v>
      </c>
      <c r="H270" s="4">
        <v>15</v>
      </c>
      <c r="I270" s="4">
        <v>8</v>
      </c>
      <c r="J270" s="4">
        <v>2013</v>
      </c>
      <c r="K270" s="5" t="s">
        <v>822</v>
      </c>
      <c r="L270" s="6" t="s">
        <v>25</v>
      </c>
      <c r="M270" s="13">
        <v>0</v>
      </c>
      <c r="N270" s="13">
        <v>0</v>
      </c>
      <c r="O270" s="13">
        <v>2</v>
      </c>
      <c r="Q270" s="7">
        <f t="shared" si="3"/>
        <v>0</v>
      </c>
      <c r="R270" s="7">
        <f t="shared" si="4"/>
        <v>0</v>
      </c>
      <c r="S270" s="7">
        <f t="shared" si="5"/>
        <v>1</v>
      </c>
    </row>
    <row r="271" spans="1:19" ht="16" x14ac:dyDescent="0.2">
      <c r="A271" s="4">
        <v>74767</v>
      </c>
      <c r="B271" s="5" t="s">
        <v>823</v>
      </c>
      <c r="C271" s="5" t="s">
        <v>824</v>
      </c>
      <c r="D271" s="5"/>
      <c r="E271" s="5"/>
      <c r="F271" s="5" t="s">
        <v>22</v>
      </c>
      <c r="G271" s="5" t="s">
        <v>825</v>
      </c>
      <c r="H271" s="4">
        <v>23</v>
      </c>
      <c r="I271" s="4">
        <v>6</v>
      </c>
      <c r="J271" s="4">
        <v>1987</v>
      </c>
      <c r="K271" s="5" t="s">
        <v>826</v>
      </c>
      <c r="L271" s="6" t="s">
        <v>25</v>
      </c>
      <c r="M271" s="13">
        <v>0</v>
      </c>
      <c r="N271" s="13">
        <v>0</v>
      </c>
      <c r="O271" s="13">
        <v>28</v>
      </c>
      <c r="Q271" s="7">
        <f t="shared" si="3"/>
        <v>0</v>
      </c>
      <c r="R271" s="7">
        <f t="shared" si="4"/>
        <v>0</v>
      </c>
      <c r="S271" s="7">
        <f t="shared" si="5"/>
        <v>1</v>
      </c>
    </row>
    <row r="272" spans="1:19" ht="16" x14ac:dyDescent="0.2">
      <c r="A272" s="4">
        <v>92439</v>
      </c>
      <c r="B272" s="5" t="s">
        <v>827</v>
      </c>
      <c r="C272" s="5" t="s">
        <v>824</v>
      </c>
      <c r="D272" s="5"/>
      <c r="E272" s="5"/>
      <c r="F272" s="5" t="s">
        <v>27</v>
      </c>
      <c r="G272" s="5" t="s">
        <v>828</v>
      </c>
      <c r="H272" s="4">
        <v>15</v>
      </c>
      <c r="I272" s="4">
        <v>6</v>
      </c>
      <c r="J272" s="4">
        <v>1990</v>
      </c>
      <c r="K272" s="5" t="s">
        <v>829</v>
      </c>
      <c r="L272" s="6" t="s">
        <v>25</v>
      </c>
      <c r="M272" s="13">
        <v>22</v>
      </c>
      <c r="N272" s="13">
        <v>25</v>
      </c>
      <c r="O272" s="13">
        <v>1</v>
      </c>
      <c r="Q272" s="7">
        <f t="shared" si="3"/>
        <v>0.45833333333333331</v>
      </c>
      <c r="R272" s="7">
        <f t="shared" si="4"/>
        <v>0.52083333333333337</v>
      </c>
      <c r="S272" s="7">
        <f t="shared" si="5"/>
        <v>2.0833333333333332E-2</v>
      </c>
    </row>
    <row r="273" spans="1:19" ht="16" x14ac:dyDescent="0.2">
      <c r="A273" s="4">
        <v>119773</v>
      </c>
      <c r="B273" s="5" t="s">
        <v>830</v>
      </c>
      <c r="C273" s="5" t="s">
        <v>824</v>
      </c>
      <c r="D273" s="5"/>
      <c r="E273" s="5"/>
      <c r="F273" s="5" t="s">
        <v>125</v>
      </c>
      <c r="G273" s="5" t="s">
        <v>831</v>
      </c>
      <c r="H273" s="4">
        <v>16</v>
      </c>
      <c r="I273" s="4">
        <v>6</v>
      </c>
      <c r="J273" s="4">
        <v>1994</v>
      </c>
      <c r="K273" s="5" t="s">
        <v>832</v>
      </c>
      <c r="L273" s="6" t="s">
        <v>25</v>
      </c>
      <c r="M273" s="13">
        <v>0</v>
      </c>
      <c r="N273" s="13">
        <v>7</v>
      </c>
      <c r="O273" s="13">
        <v>1</v>
      </c>
      <c r="Q273" s="7">
        <f t="shared" si="3"/>
        <v>0</v>
      </c>
      <c r="R273" s="7">
        <f t="shared" si="4"/>
        <v>0.875</v>
      </c>
      <c r="S273" s="7">
        <f t="shared" si="5"/>
        <v>0.125</v>
      </c>
    </row>
    <row r="274" spans="1:19" ht="16" x14ac:dyDescent="0.2">
      <c r="A274" s="4">
        <v>177866</v>
      </c>
      <c r="B274" s="5" t="s">
        <v>833</v>
      </c>
      <c r="C274" s="5" t="s">
        <v>824</v>
      </c>
      <c r="D274" s="5"/>
      <c r="E274" s="5"/>
      <c r="F274" s="5" t="s">
        <v>159</v>
      </c>
      <c r="G274" s="5" t="s">
        <v>834</v>
      </c>
      <c r="H274" s="4">
        <v>1</v>
      </c>
      <c r="I274" s="4">
        <v>8</v>
      </c>
      <c r="J274" s="4">
        <v>2013</v>
      </c>
      <c r="K274" s="5" t="s">
        <v>835</v>
      </c>
      <c r="L274" s="6" t="s">
        <v>25</v>
      </c>
      <c r="M274" s="13">
        <v>0</v>
      </c>
      <c r="N274" s="13">
        <v>0</v>
      </c>
      <c r="O274" s="13">
        <v>4</v>
      </c>
      <c r="Q274" s="7">
        <f t="shared" si="3"/>
        <v>0</v>
      </c>
      <c r="R274" s="7">
        <f t="shared" si="4"/>
        <v>0</v>
      </c>
      <c r="S274" s="7">
        <f t="shared" si="5"/>
        <v>1</v>
      </c>
    </row>
    <row r="275" spans="1:19" ht="16" x14ac:dyDescent="0.2">
      <c r="A275" s="4">
        <v>28153</v>
      </c>
      <c r="B275" s="5" t="s">
        <v>836</v>
      </c>
      <c r="C275" s="5" t="s">
        <v>837</v>
      </c>
      <c r="D275" s="5"/>
      <c r="E275" s="5"/>
      <c r="F275" s="5" t="s">
        <v>685</v>
      </c>
      <c r="G275" s="5" t="s">
        <v>167</v>
      </c>
      <c r="H275" s="4">
        <v>14</v>
      </c>
      <c r="I275" s="4">
        <v>6</v>
      </c>
      <c r="J275" s="4">
        <v>1972</v>
      </c>
      <c r="K275" s="5" t="s">
        <v>838</v>
      </c>
      <c r="L275" s="6" t="s">
        <v>25</v>
      </c>
      <c r="M275" s="13">
        <v>16</v>
      </c>
      <c r="N275" s="13">
        <v>5</v>
      </c>
      <c r="O275" s="13">
        <v>0</v>
      </c>
      <c r="Q275" s="7">
        <f t="shared" si="3"/>
        <v>0.76190476190476186</v>
      </c>
      <c r="R275" s="7">
        <f t="shared" si="4"/>
        <v>0.23809523809523808</v>
      </c>
      <c r="S275" s="7">
        <f t="shared" si="5"/>
        <v>0</v>
      </c>
    </row>
    <row r="276" spans="1:19" ht="16" x14ac:dyDescent="0.2">
      <c r="A276" s="4">
        <v>28155</v>
      </c>
      <c r="B276" s="5" t="s">
        <v>839</v>
      </c>
      <c r="C276" s="5" t="s">
        <v>837</v>
      </c>
      <c r="D276" s="5"/>
      <c r="E276" s="5"/>
      <c r="F276" s="5" t="s">
        <v>170</v>
      </c>
      <c r="G276" s="5" t="s">
        <v>167</v>
      </c>
      <c r="H276" s="4">
        <v>15</v>
      </c>
      <c r="I276" s="4">
        <v>10</v>
      </c>
      <c r="J276" s="4">
        <v>1971</v>
      </c>
      <c r="K276" s="5" t="s">
        <v>838</v>
      </c>
      <c r="L276" s="6" t="s">
        <v>25</v>
      </c>
      <c r="M276" s="13">
        <v>0</v>
      </c>
      <c r="N276" s="13">
        <v>0</v>
      </c>
      <c r="O276" s="13">
        <v>15</v>
      </c>
      <c r="Q276" s="7">
        <f t="shared" si="3"/>
        <v>0</v>
      </c>
      <c r="R276" s="7">
        <f t="shared" si="4"/>
        <v>0</v>
      </c>
      <c r="S276" s="7">
        <f t="shared" si="5"/>
        <v>1</v>
      </c>
    </row>
    <row r="277" spans="1:19" ht="16" x14ac:dyDescent="0.2">
      <c r="A277" s="4">
        <v>28157</v>
      </c>
      <c r="B277" s="5" t="s">
        <v>840</v>
      </c>
      <c r="C277" s="5" t="s">
        <v>837</v>
      </c>
      <c r="D277" s="5"/>
      <c r="E277" s="5"/>
      <c r="F277" s="5" t="s">
        <v>798</v>
      </c>
      <c r="G277" s="5" t="s">
        <v>167</v>
      </c>
      <c r="H277" s="4">
        <v>10</v>
      </c>
      <c r="I277" s="4">
        <v>6</v>
      </c>
      <c r="J277" s="4">
        <v>1964</v>
      </c>
      <c r="K277" s="5" t="s">
        <v>686</v>
      </c>
      <c r="L277" s="6" t="s">
        <v>25</v>
      </c>
      <c r="M277" s="13">
        <v>15</v>
      </c>
      <c r="N277" s="13">
        <v>33</v>
      </c>
      <c r="O277" s="13">
        <v>0</v>
      </c>
      <c r="Q277" s="7">
        <f t="shared" si="3"/>
        <v>0.3125</v>
      </c>
      <c r="R277" s="7">
        <f t="shared" si="4"/>
        <v>0.6875</v>
      </c>
      <c r="S277" s="7">
        <f t="shared" si="5"/>
        <v>0</v>
      </c>
    </row>
    <row r="278" spans="1:19" ht="16" x14ac:dyDescent="0.2">
      <c r="A278" s="4">
        <v>65119</v>
      </c>
      <c r="B278" s="5" t="s">
        <v>841</v>
      </c>
      <c r="C278" s="5" t="s">
        <v>837</v>
      </c>
      <c r="D278" s="5"/>
      <c r="E278" s="5"/>
      <c r="F278" s="5" t="s">
        <v>22</v>
      </c>
      <c r="G278" s="5" t="s">
        <v>842</v>
      </c>
      <c r="H278" s="4">
        <v>21</v>
      </c>
      <c r="I278" s="4">
        <v>6</v>
      </c>
      <c r="J278" s="4">
        <v>1984</v>
      </c>
      <c r="K278" s="5" t="s">
        <v>843</v>
      </c>
      <c r="L278" s="6" t="s">
        <v>25</v>
      </c>
      <c r="M278" s="13">
        <v>0</v>
      </c>
      <c r="N278" s="13">
        <v>26</v>
      </c>
      <c r="O278" s="13">
        <v>58</v>
      </c>
      <c r="Q278" s="7">
        <f t="shared" si="3"/>
        <v>0</v>
      </c>
      <c r="R278" s="7">
        <f t="shared" si="4"/>
        <v>0.30952380952380953</v>
      </c>
      <c r="S278" s="7">
        <f t="shared" si="5"/>
        <v>0.69047619047619047</v>
      </c>
    </row>
    <row r="279" spans="1:19" ht="16" x14ac:dyDescent="0.2">
      <c r="A279" s="4">
        <v>72442</v>
      </c>
      <c r="B279" s="5" t="s">
        <v>844</v>
      </c>
      <c r="C279" s="5" t="s">
        <v>837</v>
      </c>
      <c r="D279" s="5"/>
      <c r="E279" s="5"/>
      <c r="F279" s="5" t="s">
        <v>22</v>
      </c>
      <c r="G279" s="5" t="s">
        <v>845</v>
      </c>
      <c r="H279" s="4">
        <v>16</v>
      </c>
      <c r="I279" s="4">
        <v>6</v>
      </c>
      <c r="J279" s="4">
        <v>1987</v>
      </c>
      <c r="K279" s="5" t="s">
        <v>846</v>
      </c>
      <c r="L279" s="6" t="s">
        <v>25</v>
      </c>
      <c r="M279" s="13">
        <v>0</v>
      </c>
      <c r="N279" s="13">
        <v>16</v>
      </c>
      <c r="O279" s="13">
        <v>51</v>
      </c>
      <c r="Q279" s="7">
        <f t="shared" si="3"/>
        <v>0</v>
      </c>
      <c r="R279" s="7">
        <f t="shared" si="4"/>
        <v>0.23880597014925373</v>
      </c>
      <c r="S279" s="7">
        <f t="shared" si="5"/>
        <v>0.76119402985074625</v>
      </c>
    </row>
    <row r="280" spans="1:19" ht="16" x14ac:dyDescent="0.2">
      <c r="A280" s="4">
        <v>112844</v>
      </c>
      <c r="B280" s="5" t="s">
        <v>847</v>
      </c>
      <c r="C280" s="5" t="s">
        <v>837</v>
      </c>
      <c r="D280" s="5"/>
      <c r="E280" s="5"/>
      <c r="F280" s="5" t="s">
        <v>186</v>
      </c>
      <c r="G280" s="5" t="s">
        <v>848</v>
      </c>
      <c r="H280" s="4">
        <v>23</v>
      </c>
      <c r="I280" s="4">
        <v>6</v>
      </c>
      <c r="J280" s="4">
        <v>1993</v>
      </c>
      <c r="K280" s="5" t="s">
        <v>849</v>
      </c>
      <c r="L280" s="6" t="s">
        <v>25</v>
      </c>
      <c r="M280" s="13">
        <v>0</v>
      </c>
      <c r="N280" s="13">
        <v>11</v>
      </c>
      <c r="O280" s="13">
        <v>32</v>
      </c>
      <c r="Q280" s="7">
        <f t="shared" si="3"/>
        <v>0</v>
      </c>
      <c r="R280" s="7">
        <f t="shared" si="4"/>
        <v>0.2558139534883721</v>
      </c>
      <c r="S280" s="7">
        <f t="shared" si="5"/>
        <v>0.7441860465116279</v>
      </c>
    </row>
    <row r="281" spans="1:19" ht="16" x14ac:dyDescent="0.2">
      <c r="A281" s="4">
        <v>127899</v>
      </c>
      <c r="B281" s="5" t="s">
        <v>850</v>
      </c>
      <c r="C281" s="5" t="s">
        <v>837</v>
      </c>
      <c r="D281" s="5"/>
      <c r="E281" s="5"/>
      <c r="F281" s="5" t="s">
        <v>125</v>
      </c>
      <c r="G281" s="5" t="s">
        <v>851</v>
      </c>
      <c r="H281" s="4">
        <v>21</v>
      </c>
      <c r="I281" s="4">
        <v>8</v>
      </c>
      <c r="J281" s="4">
        <v>1995</v>
      </c>
      <c r="K281" s="5" t="s">
        <v>852</v>
      </c>
      <c r="L281" s="6" t="s">
        <v>25</v>
      </c>
      <c r="M281" s="13">
        <v>0</v>
      </c>
      <c r="N281" s="13">
        <v>0</v>
      </c>
      <c r="O281" s="13">
        <v>7</v>
      </c>
      <c r="Q281" s="7">
        <f t="shared" si="3"/>
        <v>0</v>
      </c>
      <c r="R281" s="7">
        <f t="shared" si="4"/>
        <v>0</v>
      </c>
      <c r="S281" s="7">
        <f t="shared" si="5"/>
        <v>1</v>
      </c>
    </row>
    <row r="282" spans="1:19" ht="16" x14ac:dyDescent="0.2">
      <c r="A282" s="4">
        <v>132121</v>
      </c>
      <c r="B282" s="5" t="s">
        <v>853</v>
      </c>
      <c r="C282" s="5" t="s">
        <v>837</v>
      </c>
      <c r="D282" s="5"/>
      <c r="E282" s="5"/>
      <c r="F282" s="5" t="s">
        <v>854</v>
      </c>
      <c r="G282" s="5" t="s">
        <v>855</v>
      </c>
      <c r="H282" s="4">
        <v>25</v>
      </c>
      <c r="I282" s="4">
        <v>6</v>
      </c>
      <c r="J282" s="4">
        <v>1996</v>
      </c>
      <c r="K282" s="5" t="s">
        <v>856</v>
      </c>
      <c r="L282" s="6" t="s">
        <v>25</v>
      </c>
      <c r="M282" s="13">
        <v>15</v>
      </c>
      <c r="N282" s="13">
        <v>23</v>
      </c>
      <c r="O282" s="13">
        <v>4</v>
      </c>
      <c r="Q282" s="7">
        <f t="shared" si="3"/>
        <v>0.35714285714285715</v>
      </c>
      <c r="R282" s="7">
        <f t="shared" si="4"/>
        <v>0.54761904761904767</v>
      </c>
      <c r="S282" s="7">
        <f t="shared" si="5"/>
        <v>9.5238095238095233E-2</v>
      </c>
    </row>
    <row r="283" spans="1:19" ht="16" x14ac:dyDescent="0.2">
      <c r="A283" s="4">
        <v>137651</v>
      </c>
      <c r="B283" s="5" t="s">
        <v>857</v>
      </c>
      <c r="C283" s="5" t="s">
        <v>837</v>
      </c>
      <c r="D283" s="5"/>
      <c r="E283" s="5"/>
      <c r="F283" s="5" t="s">
        <v>31</v>
      </c>
      <c r="G283" s="5" t="s">
        <v>858</v>
      </c>
      <c r="H283" s="4">
        <v>4</v>
      </c>
      <c r="I283" s="4">
        <v>8</v>
      </c>
      <c r="J283" s="4">
        <v>1997</v>
      </c>
      <c r="K283" s="5" t="s">
        <v>859</v>
      </c>
      <c r="L283" s="6" t="s">
        <v>25</v>
      </c>
      <c r="M283" s="13">
        <v>0</v>
      </c>
      <c r="N283" s="13">
        <v>0</v>
      </c>
      <c r="O283" s="13">
        <v>6</v>
      </c>
      <c r="Q283" s="7">
        <f t="shared" si="3"/>
        <v>0</v>
      </c>
      <c r="R283" s="7">
        <f t="shared" si="4"/>
        <v>0</v>
      </c>
      <c r="S283" s="7">
        <f t="shared" si="5"/>
        <v>1</v>
      </c>
    </row>
    <row r="284" spans="1:19" ht="16" x14ac:dyDescent="0.2">
      <c r="A284" s="4">
        <v>36847</v>
      </c>
      <c r="B284" s="5" t="s">
        <v>860</v>
      </c>
      <c r="C284" s="5" t="s">
        <v>861</v>
      </c>
      <c r="D284" s="5"/>
      <c r="E284" s="5"/>
      <c r="F284" s="5" t="s">
        <v>119</v>
      </c>
      <c r="G284" s="4">
        <v>4757</v>
      </c>
      <c r="H284" s="4">
        <v>9</v>
      </c>
      <c r="I284" s="4">
        <v>7</v>
      </c>
      <c r="J284" s="4">
        <v>1979</v>
      </c>
      <c r="K284" s="5" t="s">
        <v>862</v>
      </c>
      <c r="L284" s="6" t="s">
        <v>25</v>
      </c>
      <c r="M284" s="13">
        <v>0</v>
      </c>
      <c r="N284" s="13">
        <v>0</v>
      </c>
      <c r="O284" s="13">
        <v>65</v>
      </c>
      <c r="Q284" s="7">
        <f t="shared" si="3"/>
        <v>0</v>
      </c>
      <c r="R284" s="7">
        <f t="shared" si="4"/>
        <v>0</v>
      </c>
      <c r="S284" s="7">
        <f t="shared" si="5"/>
        <v>1</v>
      </c>
    </row>
    <row r="285" spans="1:19" ht="16" x14ac:dyDescent="0.2">
      <c r="A285" s="4">
        <v>78986</v>
      </c>
      <c r="B285" s="5" t="s">
        <v>863</v>
      </c>
      <c r="C285" s="5" t="s">
        <v>861</v>
      </c>
      <c r="D285" s="5"/>
      <c r="E285" s="5"/>
      <c r="F285" s="5" t="s">
        <v>22</v>
      </c>
      <c r="G285" s="5" t="s">
        <v>864</v>
      </c>
      <c r="H285" s="4">
        <v>19</v>
      </c>
      <c r="I285" s="4">
        <v>8</v>
      </c>
      <c r="J285" s="4">
        <v>1987</v>
      </c>
      <c r="K285" s="5" t="s">
        <v>865</v>
      </c>
      <c r="L285" s="6" t="s">
        <v>25</v>
      </c>
      <c r="M285" s="13">
        <v>0</v>
      </c>
      <c r="N285" s="13">
        <v>0</v>
      </c>
      <c r="O285" s="13">
        <v>17</v>
      </c>
      <c r="Q285" s="7">
        <f t="shared" si="3"/>
        <v>0</v>
      </c>
      <c r="R285" s="7">
        <f t="shared" si="4"/>
        <v>0</v>
      </c>
      <c r="S285" s="7">
        <f t="shared" si="5"/>
        <v>1</v>
      </c>
    </row>
    <row r="286" spans="1:19" ht="16" x14ac:dyDescent="0.2">
      <c r="A286" s="4">
        <v>112874</v>
      </c>
      <c r="B286" s="5" t="s">
        <v>866</v>
      </c>
      <c r="C286" s="5" t="s">
        <v>861</v>
      </c>
      <c r="D286" s="5"/>
      <c r="E286" s="5"/>
      <c r="F286" s="5" t="s">
        <v>125</v>
      </c>
      <c r="G286" s="5" t="s">
        <v>867</v>
      </c>
      <c r="H286" s="4">
        <v>22</v>
      </c>
      <c r="I286" s="4">
        <v>6</v>
      </c>
      <c r="J286" s="4">
        <v>1993</v>
      </c>
      <c r="K286" s="5" t="s">
        <v>868</v>
      </c>
      <c r="L286" s="6" t="s">
        <v>25</v>
      </c>
      <c r="M286" s="13">
        <v>47</v>
      </c>
      <c r="N286" s="13">
        <v>48</v>
      </c>
      <c r="O286" s="13">
        <v>1</v>
      </c>
      <c r="Q286" s="7">
        <f t="shared" si="3"/>
        <v>0.48958333333333331</v>
      </c>
      <c r="R286" s="7">
        <f t="shared" si="4"/>
        <v>0.5</v>
      </c>
      <c r="S286" s="7">
        <f t="shared" si="5"/>
        <v>1.0416666666666666E-2</v>
      </c>
    </row>
    <row r="287" spans="1:19" ht="16" x14ac:dyDescent="0.2">
      <c r="A287" s="4">
        <v>120833</v>
      </c>
      <c r="B287" s="5" t="s">
        <v>869</v>
      </c>
      <c r="C287" s="5" t="s">
        <v>870</v>
      </c>
      <c r="D287" s="5"/>
      <c r="E287" s="5"/>
      <c r="F287" s="5" t="s">
        <v>125</v>
      </c>
      <c r="G287" s="5" t="s">
        <v>871</v>
      </c>
      <c r="H287" s="4">
        <v>14</v>
      </c>
      <c r="I287" s="4">
        <v>8</v>
      </c>
      <c r="J287" s="4">
        <v>1994</v>
      </c>
      <c r="K287" s="5" t="s">
        <v>872</v>
      </c>
      <c r="L287" s="6" t="s">
        <v>25</v>
      </c>
      <c r="M287" s="13">
        <v>0</v>
      </c>
      <c r="N287" s="13">
        <v>0</v>
      </c>
      <c r="O287" s="13">
        <v>3</v>
      </c>
      <c r="Q287" s="7">
        <f t="shared" si="3"/>
        <v>0</v>
      </c>
      <c r="R287" s="7">
        <f t="shared" si="4"/>
        <v>0</v>
      </c>
      <c r="S287" s="7">
        <f t="shared" si="5"/>
        <v>1</v>
      </c>
    </row>
    <row r="288" spans="1:19" ht="16" x14ac:dyDescent="0.2">
      <c r="A288" s="4">
        <v>28164</v>
      </c>
      <c r="B288" s="5" t="s">
        <v>873</v>
      </c>
      <c r="C288" s="5" t="s">
        <v>874</v>
      </c>
      <c r="D288" s="5"/>
      <c r="E288" s="5"/>
      <c r="F288" s="5" t="s">
        <v>170</v>
      </c>
      <c r="G288" s="4">
        <v>435</v>
      </c>
      <c r="H288" s="4">
        <v>2</v>
      </c>
      <c r="I288" s="4">
        <v>7</v>
      </c>
      <c r="J288" s="4">
        <v>1970</v>
      </c>
      <c r="K288" s="5" t="s">
        <v>875</v>
      </c>
      <c r="L288" s="6" t="s">
        <v>25</v>
      </c>
      <c r="M288" s="13">
        <v>0</v>
      </c>
      <c r="N288" s="13">
        <v>0</v>
      </c>
      <c r="O288" s="13">
        <v>24</v>
      </c>
      <c r="Q288" s="7">
        <f t="shared" si="3"/>
        <v>0</v>
      </c>
      <c r="R288" s="7">
        <f t="shared" si="4"/>
        <v>0</v>
      </c>
      <c r="S288" s="7">
        <f t="shared" si="5"/>
        <v>1</v>
      </c>
    </row>
    <row r="289" spans="1:19" ht="16" x14ac:dyDescent="0.2">
      <c r="A289" s="4">
        <v>28165</v>
      </c>
      <c r="B289" s="5" t="s">
        <v>876</v>
      </c>
      <c r="C289" s="5" t="s">
        <v>874</v>
      </c>
      <c r="D289" s="5"/>
      <c r="E289" s="5"/>
      <c r="F289" s="5" t="s">
        <v>170</v>
      </c>
      <c r="G289" s="4">
        <v>434</v>
      </c>
      <c r="H289" s="4">
        <v>2</v>
      </c>
      <c r="I289" s="4">
        <v>7</v>
      </c>
      <c r="J289" s="4">
        <v>1970</v>
      </c>
      <c r="K289" s="5" t="s">
        <v>877</v>
      </c>
      <c r="L289" s="6" t="s">
        <v>25</v>
      </c>
      <c r="M289" s="13">
        <v>0</v>
      </c>
      <c r="N289" s="13">
        <v>0</v>
      </c>
      <c r="O289" s="13">
        <v>16</v>
      </c>
      <c r="Q289" s="7">
        <f t="shared" si="3"/>
        <v>0</v>
      </c>
      <c r="R289" s="7">
        <f t="shared" si="4"/>
        <v>0</v>
      </c>
      <c r="S289" s="7">
        <f t="shared" si="5"/>
        <v>1</v>
      </c>
    </row>
    <row r="290" spans="1:19" ht="16" x14ac:dyDescent="0.2">
      <c r="A290" s="4">
        <v>28168</v>
      </c>
      <c r="B290" s="5" t="s">
        <v>878</v>
      </c>
      <c r="C290" s="5" t="s">
        <v>874</v>
      </c>
      <c r="D290" s="5"/>
      <c r="E290" s="5"/>
      <c r="F290" s="5" t="s">
        <v>685</v>
      </c>
      <c r="G290" s="5" t="s">
        <v>167</v>
      </c>
      <c r="H290" s="4">
        <v>14</v>
      </c>
      <c r="I290" s="4">
        <v>6</v>
      </c>
      <c r="J290" s="4">
        <v>1972</v>
      </c>
      <c r="K290" s="5" t="s">
        <v>875</v>
      </c>
      <c r="L290" s="6" t="s">
        <v>25</v>
      </c>
      <c r="M290" s="13">
        <v>25</v>
      </c>
      <c r="N290" s="13">
        <v>4</v>
      </c>
      <c r="O290" s="13">
        <v>0</v>
      </c>
      <c r="Q290" s="7">
        <f t="shared" si="3"/>
        <v>0.86206896551724133</v>
      </c>
      <c r="R290" s="7">
        <f t="shared" si="4"/>
        <v>0.13793103448275862</v>
      </c>
      <c r="S290" s="7">
        <f t="shared" si="5"/>
        <v>0</v>
      </c>
    </row>
    <row r="291" spans="1:19" ht="16" x14ac:dyDescent="0.2">
      <c r="A291" s="4">
        <v>36848</v>
      </c>
      <c r="B291" s="5" t="s">
        <v>879</v>
      </c>
      <c r="C291" s="5" t="s">
        <v>874</v>
      </c>
      <c r="D291" s="5"/>
      <c r="E291" s="5"/>
      <c r="F291" s="5" t="s">
        <v>119</v>
      </c>
      <c r="G291" s="4">
        <v>4750</v>
      </c>
      <c r="H291" s="4">
        <v>6</v>
      </c>
      <c r="I291" s="4">
        <v>7</v>
      </c>
      <c r="J291" s="4">
        <v>1979</v>
      </c>
      <c r="K291" s="5" t="s">
        <v>880</v>
      </c>
      <c r="L291" s="6" t="s">
        <v>25</v>
      </c>
      <c r="M291" s="13">
        <v>0</v>
      </c>
      <c r="N291" s="13">
        <v>0</v>
      </c>
      <c r="O291" s="13">
        <v>30</v>
      </c>
      <c r="Q291" s="7">
        <f t="shared" si="3"/>
        <v>0</v>
      </c>
      <c r="R291" s="7">
        <f t="shared" si="4"/>
        <v>0</v>
      </c>
      <c r="S291" s="7">
        <f t="shared" si="5"/>
        <v>1</v>
      </c>
    </row>
    <row r="292" spans="1:19" ht="16" x14ac:dyDescent="0.2">
      <c r="A292" s="4">
        <v>36849</v>
      </c>
      <c r="B292" s="5" t="s">
        <v>881</v>
      </c>
      <c r="C292" s="5" t="s">
        <v>874</v>
      </c>
      <c r="D292" s="5"/>
      <c r="E292" s="5"/>
      <c r="F292" s="5" t="s">
        <v>119</v>
      </c>
      <c r="G292" s="4">
        <v>4739</v>
      </c>
      <c r="H292" s="4">
        <v>5</v>
      </c>
      <c r="I292" s="4">
        <v>6</v>
      </c>
      <c r="J292" s="4">
        <v>1979</v>
      </c>
      <c r="K292" s="5" t="s">
        <v>882</v>
      </c>
      <c r="L292" s="6" t="s">
        <v>25</v>
      </c>
      <c r="M292" s="13">
        <v>0</v>
      </c>
      <c r="N292" s="13">
        <v>0</v>
      </c>
      <c r="O292" s="13">
        <v>61</v>
      </c>
      <c r="Q292" s="7">
        <f t="shared" si="3"/>
        <v>0</v>
      </c>
      <c r="R292" s="7">
        <f t="shared" si="4"/>
        <v>0</v>
      </c>
      <c r="S292" s="7">
        <f t="shared" si="5"/>
        <v>1</v>
      </c>
    </row>
    <row r="293" spans="1:19" ht="16" x14ac:dyDescent="0.2">
      <c r="A293" s="4">
        <v>36850</v>
      </c>
      <c r="B293" s="5" t="s">
        <v>883</v>
      </c>
      <c r="C293" s="5" t="s">
        <v>874</v>
      </c>
      <c r="D293" s="5"/>
      <c r="E293" s="5"/>
      <c r="F293" s="5" t="s">
        <v>119</v>
      </c>
      <c r="G293" s="4">
        <v>4745</v>
      </c>
      <c r="H293" s="4">
        <v>5</v>
      </c>
      <c r="I293" s="4">
        <v>7</v>
      </c>
      <c r="J293" s="4">
        <v>1979</v>
      </c>
      <c r="K293" s="5" t="s">
        <v>884</v>
      </c>
      <c r="L293" s="6" t="s">
        <v>25</v>
      </c>
      <c r="M293" s="13">
        <v>0</v>
      </c>
      <c r="N293" s="13">
        <v>0</v>
      </c>
      <c r="O293" s="13">
        <v>54</v>
      </c>
      <c r="Q293" s="7">
        <f t="shared" si="3"/>
        <v>0</v>
      </c>
      <c r="R293" s="7">
        <f t="shared" si="4"/>
        <v>0</v>
      </c>
      <c r="S293" s="7">
        <f t="shared" si="5"/>
        <v>1</v>
      </c>
    </row>
    <row r="294" spans="1:19" ht="16" x14ac:dyDescent="0.2">
      <c r="A294" s="4">
        <v>36851</v>
      </c>
      <c r="B294" s="5" t="s">
        <v>885</v>
      </c>
      <c r="C294" s="5" t="s">
        <v>874</v>
      </c>
      <c r="D294" s="5"/>
      <c r="E294" s="5"/>
      <c r="F294" s="5" t="s">
        <v>180</v>
      </c>
      <c r="G294" s="4">
        <v>7919</v>
      </c>
      <c r="H294" s="4">
        <v>6</v>
      </c>
      <c r="I294" s="4">
        <v>7</v>
      </c>
      <c r="J294" s="4">
        <v>1979</v>
      </c>
      <c r="K294" s="5" t="s">
        <v>886</v>
      </c>
      <c r="L294" s="6" t="s">
        <v>25</v>
      </c>
      <c r="M294" s="13">
        <v>0</v>
      </c>
      <c r="N294" s="13">
        <v>0</v>
      </c>
      <c r="O294" s="13">
        <v>49</v>
      </c>
      <c r="Q294" s="7">
        <f t="shared" si="3"/>
        <v>0</v>
      </c>
      <c r="R294" s="7">
        <f t="shared" si="4"/>
        <v>0</v>
      </c>
      <c r="S294" s="7">
        <f t="shared" si="5"/>
        <v>1</v>
      </c>
    </row>
    <row r="295" spans="1:19" ht="16" x14ac:dyDescent="0.2">
      <c r="A295" s="4">
        <v>74094</v>
      </c>
      <c r="B295" s="5" t="s">
        <v>887</v>
      </c>
      <c r="C295" s="5" t="s">
        <v>874</v>
      </c>
      <c r="D295" s="5"/>
      <c r="E295" s="5"/>
      <c r="F295" s="5" t="s">
        <v>22</v>
      </c>
      <c r="G295" s="5" t="s">
        <v>888</v>
      </c>
      <c r="H295" s="4">
        <v>8</v>
      </c>
      <c r="I295" s="4">
        <v>7</v>
      </c>
      <c r="J295" s="4">
        <v>1987</v>
      </c>
      <c r="K295" s="5" t="s">
        <v>889</v>
      </c>
      <c r="L295" s="6" t="s">
        <v>25</v>
      </c>
      <c r="M295" s="13">
        <v>0</v>
      </c>
      <c r="N295" s="13">
        <v>0</v>
      </c>
      <c r="O295" s="13">
        <v>13</v>
      </c>
      <c r="Q295" s="7">
        <f t="shared" si="3"/>
        <v>0</v>
      </c>
      <c r="R295" s="7">
        <f t="shared" si="4"/>
        <v>0</v>
      </c>
      <c r="S295" s="7">
        <f t="shared" si="5"/>
        <v>1</v>
      </c>
    </row>
    <row r="296" spans="1:19" ht="16" x14ac:dyDescent="0.2">
      <c r="A296" s="4">
        <v>74189</v>
      </c>
      <c r="B296" s="5" t="s">
        <v>890</v>
      </c>
      <c r="C296" s="5" t="s">
        <v>874</v>
      </c>
      <c r="D296" s="5"/>
      <c r="E296" s="5"/>
      <c r="F296" s="5" t="s">
        <v>22</v>
      </c>
      <c r="G296" s="5" t="s">
        <v>891</v>
      </c>
      <c r="H296" s="4">
        <v>8</v>
      </c>
      <c r="I296" s="4">
        <v>7</v>
      </c>
      <c r="J296" s="4">
        <v>1987</v>
      </c>
      <c r="K296" s="5" t="s">
        <v>892</v>
      </c>
      <c r="L296" s="6" t="s">
        <v>25</v>
      </c>
      <c r="M296" s="13">
        <v>0</v>
      </c>
      <c r="N296" s="13">
        <v>0</v>
      </c>
      <c r="O296" s="13">
        <v>7</v>
      </c>
      <c r="Q296" s="7">
        <f t="shared" si="3"/>
        <v>0</v>
      </c>
      <c r="R296" s="7">
        <f t="shared" si="4"/>
        <v>0</v>
      </c>
      <c r="S296" s="7">
        <f t="shared" si="5"/>
        <v>1</v>
      </c>
    </row>
    <row r="297" spans="1:19" ht="16" x14ac:dyDescent="0.2">
      <c r="A297" s="4">
        <v>75702</v>
      </c>
      <c r="B297" s="5" t="s">
        <v>893</v>
      </c>
      <c r="C297" s="5" t="s">
        <v>874</v>
      </c>
      <c r="D297" s="5"/>
      <c r="E297" s="5"/>
      <c r="F297" s="5" t="s">
        <v>22</v>
      </c>
      <c r="G297" s="5" t="s">
        <v>894</v>
      </c>
      <c r="H297" s="4">
        <v>7</v>
      </c>
      <c r="I297" s="4">
        <v>7</v>
      </c>
      <c r="J297" s="4">
        <v>1987</v>
      </c>
      <c r="K297" s="5" t="s">
        <v>895</v>
      </c>
      <c r="L297" s="6" t="s">
        <v>25</v>
      </c>
      <c r="M297" s="13">
        <v>0</v>
      </c>
      <c r="N297" s="13">
        <v>0</v>
      </c>
      <c r="O297" s="13">
        <v>18</v>
      </c>
      <c r="Q297" s="7">
        <f t="shared" si="3"/>
        <v>0</v>
      </c>
      <c r="R297" s="7">
        <f t="shared" si="4"/>
        <v>0</v>
      </c>
      <c r="S297" s="7">
        <f t="shared" si="5"/>
        <v>1</v>
      </c>
    </row>
    <row r="298" spans="1:19" ht="16" x14ac:dyDescent="0.2">
      <c r="A298" s="4">
        <v>75705</v>
      </c>
      <c r="B298" s="5" t="s">
        <v>896</v>
      </c>
      <c r="C298" s="5" t="s">
        <v>874</v>
      </c>
      <c r="D298" s="5"/>
      <c r="E298" s="5"/>
      <c r="F298" s="5" t="s">
        <v>22</v>
      </c>
      <c r="G298" s="5" t="s">
        <v>897</v>
      </c>
      <c r="H298" s="4">
        <v>7</v>
      </c>
      <c r="I298" s="4">
        <v>7</v>
      </c>
      <c r="J298" s="4">
        <v>1987</v>
      </c>
      <c r="K298" s="5" t="s">
        <v>898</v>
      </c>
      <c r="L298" s="6" t="s">
        <v>25</v>
      </c>
      <c r="M298" s="13">
        <v>0</v>
      </c>
      <c r="N298" s="13">
        <v>2</v>
      </c>
      <c r="O298" s="13">
        <v>29</v>
      </c>
      <c r="Q298" s="7">
        <f t="shared" si="3"/>
        <v>0</v>
      </c>
      <c r="R298" s="7">
        <f t="shared" si="4"/>
        <v>6.4516129032258063E-2</v>
      </c>
      <c r="S298" s="7">
        <f t="shared" si="5"/>
        <v>0.93548387096774188</v>
      </c>
    </row>
    <row r="299" spans="1:19" ht="16" x14ac:dyDescent="0.2">
      <c r="A299" s="4">
        <v>76916</v>
      </c>
      <c r="B299" s="5" t="s">
        <v>899</v>
      </c>
      <c r="C299" s="5" t="s">
        <v>874</v>
      </c>
      <c r="D299" s="5"/>
      <c r="E299" s="5"/>
      <c r="F299" s="5" t="s">
        <v>22</v>
      </c>
      <c r="G299" s="5" t="s">
        <v>900</v>
      </c>
      <c r="H299" s="4">
        <v>10</v>
      </c>
      <c r="I299" s="4">
        <v>8</v>
      </c>
      <c r="J299" s="4">
        <v>1987</v>
      </c>
      <c r="K299" s="5" t="s">
        <v>901</v>
      </c>
      <c r="L299" s="6" t="s">
        <v>25</v>
      </c>
      <c r="M299" s="13">
        <v>0</v>
      </c>
      <c r="N299" s="13">
        <v>0</v>
      </c>
      <c r="O299" s="13">
        <v>11</v>
      </c>
      <c r="Q299" s="7">
        <f t="shared" si="3"/>
        <v>0</v>
      </c>
      <c r="R299" s="7">
        <f t="shared" si="4"/>
        <v>0</v>
      </c>
      <c r="S299" s="7">
        <f t="shared" si="5"/>
        <v>1</v>
      </c>
    </row>
    <row r="300" spans="1:19" ht="16" x14ac:dyDescent="0.2">
      <c r="A300" s="4">
        <v>78755</v>
      </c>
      <c r="B300" s="5" t="s">
        <v>902</v>
      </c>
      <c r="C300" s="5" t="s">
        <v>874</v>
      </c>
      <c r="D300" s="5"/>
      <c r="E300" s="5"/>
      <c r="F300" s="5" t="s">
        <v>22</v>
      </c>
      <c r="G300" s="5" t="s">
        <v>903</v>
      </c>
      <c r="H300" s="4">
        <v>23</v>
      </c>
      <c r="I300" s="4">
        <v>6</v>
      </c>
      <c r="J300" s="4">
        <v>1987</v>
      </c>
      <c r="K300" s="5" t="s">
        <v>904</v>
      </c>
      <c r="L300" s="6" t="s">
        <v>25</v>
      </c>
      <c r="M300" s="13">
        <v>18</v>
      </c>
      <c r="N300" s="13">
        <v>37</v>
      </c>
      <c r="O300" s="13">
        <v>18</v>
      </c>
      <c r="Q300" s="7">
        <f t="shared" si="3"/>
        <v>0.24657534246575341</v>
      </c>
      <c r="R300" s="7">
        <f t="shared" si="4"/>
        <v>0.50684931506849318</v>
      </c>
      <c r="S300" s="7">
        <f t="shared" si="5"/>
        <v>0.24657534246575341</v>
      </c>
    </row>
    <row r="301" spans="1:19" ht="16" x14ac:dyDescent="0.2">
      <c r="A301" s="4">
        <v>78987</v>
      </c>
      <c r="B301" s="5" t="s">
        <v>905</v>
      </c>
      <c r="C301" s="5" t="s">
        <v>874</v>
      </c>
      <c r="D301" s="5"/>
      <c r="E301" s="5"/>
      <c r="F301" s="5" t="s">
        <v>22</v>
      </c>
      <c r="G301" s="5" t="s">
        <v>906</v>
      </c>
      <c r="H301" s="4">
        <v>19</v>
      </c>
      <c r="I301" s="4">
        <v>8</v>
      </c>
      <c r="J301" s="4">
        <v>1987</v>
      </c>
      <c r="K301" s="5" t="s">
        <v>907</v>
      </c>
      <c r="L301" s="6" t="s">
        <v>25</v>
      </c>
      <c r="M301" s="13">
        <v>0</v>
      </c>
      <c r="N301" s="13">
        <v>0</v>
      </c>
      <c r="O301" s="13">
        <v>10</v>
      </c>
      <c r="Q301" s="7">
        <f t="shared" si="3"/>
        <v>0</v>
      </c>
      <c r="R301" s="7">
        <f t="shared" si="4"/>
        <v>0</v>
      </c>
      <c r="S301" s="7">
        <f t="shared" si="5"/>
        <v>1</v>
      </c>
    </row>
    <row r="302" spans="1:19" ht="16" x14ac:dyDescent="0.2">
      <c r="A302" s="4">
        <v>79001</v>
      </c>
      <c r="B302" s="5" t="s">
        <v>908</v>
      </c>
      <c r="C302" s="5" t="s">
        <v>874</v>
      </c>
      <c r="D302" s="5"/>
      <c r="E302" s="5"/>
      <c r="F302" s="5" t="s">
        <v>22</v>
      </c>
      <c r="G302" s="5" t="s">
        <v>909</v>
      </c>
      <c r="H302" s="4">
        <v>19</v>
      </c>
      <c r="I302" s="4">
        <v>8</v>
      </c>
      <c r="J302" s="4">
        <v>1987</v>
      </c>
      <c r="K302" s="5" t="s">
        <v>910</v>
      </c>
      <c r="L302" s="6" t="s">
        <v>25</v>
      </c>
      <c r="M302" s="13">
        <v>0</v>
      </c>
      <c r="N302" s="13">
        <v>0</v>
      </c>
      <c r="O302" s="13">
        <v>17</v>
      </c>
      <c r="Q302" s="7">
        <f t="shared" si="3"/>
        <v>0</v>
      </c>
      <c r="R302" s="7">
        <f t="shared" si="4"/>
        <v>0</v>
      </c>
      <c r="S302" s="7">
        <f t="shared" si="5"/>
        <v>1</v>
      </c>
    </row>
    <row r="303" spans="1:19" ht="16" x14ac:dyDescent="0.2">
      <c r="A303" s="4">
        <v>79006</v>
      </c>
      <c r="B303" s="5" t="s">
        <v>911</v>
      </c>
      <c r="C303" s="5" t="s">
        <v>874</v>
      </c>
      <c r="D303" s="5"/>
      <c r="E303" s="5"/>
      <c r="F303" s="5" t="s">
        <v>22</v>
      </c>
      <c r="G303" s="5" t="s">
        <v>912</v>
      </c>
      <c r="H303" s="4">
        <v>19</v>
      </c>
      <c r="I303" s="4">
        <v>8</v>
      </c>
      <c r="J303" s="4">
        <v>1987</v>
      </c>
      <c r="K303" s="5" t="s">
        <v>913</v>
      </c>
      <c r="L303" s="6" t="s">
        <v>25</v>
      </c>
      <c r="M303" s="13">
        <v>0</v>
      </c>
      <c r="N303" s="13">
        <v>0</v>
      </c>
      <c r="O303" s="13">
        <v>15</v>
      </c>
      <c r="Q303" s="7">
        <f t="shared" si="3"/>
        <v>0</v>
      </c>
      <c r="R303" s="7">
        <f t="shared" si="4"/>
        <v>0</v>
      </c>
      <c r="S303" s="7">
        <f t="shared" si="5"/>
        <v>1</v>
      </c>
    </row>
    <row r="304" spans="1:19" ht="16" x14ac:dyDescent="0.2">
      <c r="A304" s="4">
        <v>92015</v>
      </c>
      <c r="B304" s="5" t="s">
        <v>914</v>
      </c>
      <c r="C304" s="5" t="s">
        <v>874</v>
      </c>
      <c r="D304" s="5"/>
      <c r="E304" s="5"/>
      <c r="F304" s="5" t="s">
        <v>27</v>
      </c>
      <c r="G304" s="5" t="s">
        <v>915</v>
      </c>
      <c r="H304" s="4">
        <v>22</v>
      </c>
      <c r="I304" s="4">
        <v>5</v>
      </c>
      <c r="J304" s="4">
        <v>1990</v>
      </c>
      <c r="K304" s="5" t="s">
        <v>916</v>
      </c>
      <c r="L304" s="6" t="s">
        <v>25</v>
      </c>
      <c r="M304" s="13">
        <v>125</v>
      </c>
      <c r="N304" s="13">
        <v>0</v>
      </c>
      <c r="O304" s="13">
        <v>0</v>
      </c>
      <c r="Q304" s="7">
        <f t="shared" si="3"/>
        <v>1</v>
      </c>
      <c r="R304" s="7">
        <f t="shared" si="4"/>
        <v>0</v>
      </c>
      <c r="S304" s="7">
        <f t="shared" si="5"/>
        <v>0</v>
      </c>
    </row>
    <row r="305" spans="1:19" ht="16" x14ac:dyDescent="0.2">
      <c r="A305" s="4">
        <v>92438</v>
      </c>
      <c r="B305" s="5" t="s">
        <v>917</v>
      </c>
      <c r="C305" s="5" t="s">
        <v>874</v>
      </c>
      <c r="D305" s="5"/>
      <c r="E305" s="5"/>
      <c r="F305" s="5" t="s">
        <v>27</v>
      </c>
      <c r="G305" s="5" t="s">
        <v>918</v>
      </c>
      <c r="H305" s="4">
        <v>15</v>
      </c>
      <c r="I305" s="4">
        <v>6</v>
      </c>
      <c r="J305" s="4">
        <v>1990</v>
      </c>
      <c r="K305" s="5" t="s">
        <v>919</v>
      </c>
      <c r="L305" s="6" t="s">
        <v>25</v>
      </c>
      <c r="M305" s="13">
        <v>43</v>
      </c>
      <c r="N305" s="13">
        <v>18</v>
      </c>
      <c r="O305" s="13">
        <v>0</v>
      </c>
      <c r="Q305" s="7">
        <f t="shared" si="3"/>
        <v>0.70491803278688525</v>
      </c>
      <c r="R305" s="7">
        <f t="shared" si="4"/>
        <v>0.29508196721311475</v>
      </c>
      <c r="S305" s="7">
        <f t="shared" si="5"/>
        <v>0</v>
      </c>
    </row>
    <row r="306" spans="1:19" ht="16" x14ac:dyDescent="0.2">
      <c r="A306" s="4">
        <v>92621</v>
      </c>
      <c r="B306" s="5" t="s">
        <v>920</v>
      </c>
      <c r="C306" s="5" t="s">
        <v>874</v>
      </c>
      <c r="D306" s="5"/>
      <c r="E306" s="5"/>
      <c r="F306" s="5" t="s">
        <v>176</v>
      </c>
      <c r="G306" s="5" t="s">
        <v>921</v>
      </c>
      <c r="H306" s="4">
        <v>19</v>
      </c>
      <c r="I306" s="4">
        <v>6</v>
      </c>
      <c r="J306" s="4">
        <v>1990</v>
      </c>
      <c r="K306" s="5" t="s">
        <v>892</v>
      </c>
      <c r="L306" s="6" t="s">
        <v>25</v>
      </c>
      <c r="M306" s="13">
        <v>2</v>
      </c>
      <c r="N306" s="13">
        <v>46</v>
      </c>
      <c r="O306" s="13">
        <v>4</v>
      </c>
      <c r="Q306" s="7">
        <f t="shared" si="3"/>
        <v>3.8461538461538464E-2</v>
      </c>
      <c r="R306" s="7">
        <f t="shared" si="4"/>
        <v>0.88461538461538458</v>
      </c>
      <c r="S306" s="7">
        <f t="shared" si="5"/>
        <v>7.6923076923076927E-2</v>
      </c>
    </row>
    <row r="307" spans="1:19" ht="16" x14ac:dyDescent="0.2">
      <c r="A307" s="4">
        <v>92623</v>
      </c>
      <c r="B307" s="5" t="s">
        <v>922</v>
      </c>
      <c r="C307" s="5" t="s">
        <v>874</v>
      </c>
      <c r="D307" s="5"/>
      <c r="E307" s="5"/>
      <c r="F307" s="5" t="s">
        <v>176</v>
      </c>
      <c r="G307" s="5" t="s">
        <v>923</v>
      </c>
      <c r="H307" s="4">
        <v>19</v>
      </c>
      <c r="I307" s="4">
        <v>6</v>
      </c>
      <c r="J307" s="4">
        <v>1990</v>
      </c>
      <c r="K307" s="5" t="s">
        <v>924</v>
      </c>
      <c r="L307" s="6" t="s">
        <v>25</v>
      </c>
      <c r="M307" s="13">
        <v>1</v>
      </c>
      <c r="N307" s="13">
        <v>46</v>
      </c>
      <c r="O307" s="13">
        <v>5</v>
      </c>
      <c r="Q307" s="7">
        <f t="shared" si="3"/>
        <v>1.9230769230769232E-2</v>
      </c>
      <c r="R307" s="7">
        <f t="shared" si="4"/>
        <v>0.88461538461538458</v>
      </c>
      <c r="S307" s="7">
        <f t="shared" si="5"/>
        <v>9.6153846153846159E-2</v>
      </c>
    </row>
    <row r="308" spans="1:19" ht="16" x14ac:dyDescent="0.2">
      <c r="A308" s="4">
        <v>92640</v>
      </c>
      <c r="B308" s="5" t="s">
        <v>925</v>
      </c>
      <c r="C308" s="5" t="s">
        <v>874</v>
      </c>
      <c r="D308" s="5"/>
      <c r="E308" s="5"/>
      <c r="F308" s="5" t="s">
        <v>176</v>
      </c>
      <c r="G308" s="5" t="s">
        <v>926</v>
      </c>
      <c r="H308" s="4">
        <v>19</v>
      </c>
      <c r="I308" s="4">
        <v>6</v>
      </c>
      <c r="J308" s="4">
        <v>1990</v>
      </c>
      <c r="K308" s="5" t="s">
        <v>889</v>
      </c>
      <c r="L308" s="6" t="s">
        <v>25</v>
      </c>
      <c r="M308" s="13">
        <v>15</v>
      </c>
      <c r="N308" s="13">
        <v>35</v>
      </c>
      <c r="O308" s="13">
        <v>0</v>
      </c>
      <c r="Q308" s="7">
        <f t="shared" si="3"/>
        <v>0.3</v>
      </c>
      <c r="R308" s="7">
        <f t="shared" si="4"/>
        <v>0.7</v>
      </c>
      <c r="S308" s="7">
        <f t="shared" si="5"/>
        <v>0</v>
      </c>
    </row>
    <row r="309" spans="1:19" ht="16" x14ac:dyDescent="0.2">
      <c r="A309" s="4">
        <v>93931</v>
      </c>
      <c r="B309" s="5" t="s">
        <v>927</v>
      </c>
      <c r="C309" s="5" t="s">
        <v>874</v>
      </c>
      <c r="D309" s="5"/>
      <c r="E309" s="5"/>
      <c r="F309" s="5" t="s">
        <v>77</v>
      </c>
      <c r="G309" s="4">
        <v>3794</v>
      </c>
      <c r="H309" s="4">
        <v>1</v>
      </c>
      <c r="I309" s="4">
        <v>8</v>
      </c>
      <c r="J309" s="4">
        <v>1990</v>
      </c>
      <c r="K309" s="5" t="s">
        <v>928</v>
      </c>
      <c r="L309" s="6" t="s">
        <v>25</v>
      </c>
      <c r="M309" s="13">
        <v>0</v>
      </c>
      <c r="N309" s="13">
        <v>0</v>
      </c>
      <c r="O309" s="13">
        <v>13</v>
      </c>
      <c r="Q309" s="7">
        <f t="shared" si="3"/>
        <v>0</v>
      </c>
      <c r="R309" s="7">
        <f t="shared" si="4"/>
        <v>0</v>
      </c>
      <c r="S309" s="7">
        <f t="shared" si="5"/>
        <v>1</v>
      </c>
    </row>
    <row r="310" spans="1:19" ht="16" x14ac:dyDescent="0.2">
      <c r="A310" s="4">
        <v>98503</v>
      </c>
      <c r="B310" s="5" t="s">
        <v>929</v>
      </c>
      <c r="C310" s="5" t="s">
        <v>874</v>
      </c>
      <c r="D310" s="5"/>
      <c r="E310" s="5"/>
      <c r="F310" s="5" t="s">
        <v>31</v>
      </c>
      <c r="G310" s="5" t="s">
        <v>930</v>
      </c>
      <c r="H310" s="4">
        <v>30</v>
      </c>
      <c r="I310" s="4">
        <v>7</v>
      </c>
      <c r="J310" s="4">
        <v>1991</v>
      </c>
      <c r="K310" s="5" t="s">
        <v>931</v>
      </c>
      <c r="L310" s="6" t="s">
        <v>25</v>
      </c>
      <c r="M310" s="13">
        <v>0</v>
      </c>
      <c r="N310" s="13">
        <v>0</v>
      </c>
      <c r="O310" s="13">
        <v>13</v>
      </c>
      <c r="Q310" s="7">
        <f t="shared" si="3"/>
        <v>0</v>
      </c>
      <c r="R310" s="7">
        <f t="shared" si="4"/>
        <v>0</v>
      </c>
      <c r="S310" s="7">
        <f t="shared" si="5"/>
        <v>1</v>
      </c>
    </row>
    <row r="311" spans="1:19" ht="16" x14ac:dyDescent="0.2">
      <c r="A311" s="4">
        <v>98504</v>
      </c>
      <c r="B311" s="5" t="s">
        <v>932</v>
      </c>
      <c r="C311" s="5" t="s">
        <v>874</v>
      </c>
      <c r="D311" s="5"/>
      <c r="E311" s="5"/>
      <c r="F311" s="5" t="s">
        <v>31</v>
      </c>
      <c r="G311" s="5" t="s">
        <v>933</v>
      </c>
      <c r="H311" s="4">
        <v>6</v>
      </c>
      <c r="I311" s="4">
        <v>8</v>
      </c>
      <c r="J311" s="4">
        <v>1991</v>
      </c>
      <c r="K311" s="5" t="s">
        <v>934</v>
      </c>
      <c r="L311" s="6" t="s">
        <v>25</v>
      </c>
      <c r="M311" s="13">
        <v>0</v>
      </c>
      <c r="N311" s="13">
        <v>0</v>
      </c>
      <c r="O311" s="13">
        <v>3</v>
      </c>
      <c r="Q311" s="7">
        <f t="shared" si="3"/>
        <v>0</v>
      </c>
      <c r="R311" s="7">
        <f t="shared" si="4"/>
        <v>0</v>
      </c>
      <c r="S311" s="7">
        <f t="shared" si="5"/>
        <v>1</v>
      </c>
    </row>
    <row r="312" spans="1:19" ht="16" x14ac:dyDescent="0.2">
      <c r="A312" s="4">
        <v>112592</v>
      </c>
      <c r="B312" s="5" t="s">
        <v>935</v>
      </c>
      <c r="C312" s="5" t="s">
        <v>874</v>
      </c>
      <c r="D312" s="5"/>
      <c r="E312" s="5"/>
      <c r="F312" s="5" t="s">
        <v>125</v>
      </c>
      <c r="G312" s="5" t="s">
        <v>936</v>
      </c>
      <c r="H312" s="4">
        <v>15</v>
      </c>
      <c r="I312" s="4">
        <v>6</v>
      </c>
      <c r="J312" s="4">
        <v>1993</v>
      </c>
      <c r="K312" s="5" t="s">
        <v>937</v>
      </c>
      <c r="L312" s="6" t="s">
        <v>25</v>
      </c>
      <c r="M312" s="13">
        <v>60</v>
      </c>
      <c r="N312" s="13">
        <v>21</v>
      </c>
      <c r="O312" s="13">
        <v>0</v>
      </c>
      <c r="Q312" s="7">
        <f t="shared" si="3"/>
        <v>0.7407407407407407</v>
      </c>
      <c r="R312" s="7">
        <f t="shared" si="4"/>
        <v>0.25925925925925924</v>
      </c>
      <c r="S312" s="7">
        <f t="shared" si="5"/>
        <v>0</v>
      </c>
    </row>
    <row r="313" spans="1:19" ht="16" x14ac:dyDescent="0.2">
      <c r="A313" s="4">
        <v>112593</v>
      </c>
      <c r="B313" s="5" t="s">
        <v>938</v>
      </c>
      <c r="C313" s="5" t="s">
        <v>874</v>
      </c>
      <c r="D313" s="5"/>
      <c r="E313" s="5"/>
      <c r="F313" s="5" t="s">
        <v>125</v>
      </c>
      <c r="G313" s="5" t="s">
        <v>939</v>
      </c>
      <c r="H313" s="4">
        <v>15</v>
      </c>
      <c r="I313" s="4">
        <v>6</v>
      </c>
      <c r="J313" s="4">
        <v>1993</v>
      </c>
      <c r="K313" s="5" t="s">
        <v>940</v>
      </c>
      <c r="L313" s="6" t="s">
        <v>25</v>
      </c>
      <c r="M313" s="13">
        <v>37</v>
      </c>
      <c r="N313" s="13">
        <v>45</v>
      </c>
      <c r="O313" s="13">
        <v>0</v>
      </c>
      <c r="Q313" s="7">
        <f t="shared" si="3"/>
        <v>0.45121951219512196</v>
      </c>
      <c r="R313" s="7">
        <f t="shared" si="4"/>
        <v>0.54878048780487809</v>
      </c>
      <c r="S313" s="7">
        <f t="shared" si="5"/>
        <v>0</v>
      </c>
    </row>
    <row r="314" spans="1:19" ht="16" x14ac:dyDescent="0.2">
      <c r="A314" s="4">
        <v>112815</v>
      </c>
      <c r="B314" s="5" t="s">
        <v>941</v>
      </c>
      <c r="C314" s="5" t="s">
        <v>874</v>
      </c>
      <c r="D314" s="5"/>
      <c r="E314" s="5"/>
      <c r="F314" s="5" t="s">
        <v>186</v>
      </c>
      <c r="G314" s="5" t="s">
        <v>942</v>
      </c>
      <c r="H314" s="4">
        <v>23</v>
      </c>
      <c r="I314" s="4">
        <v>6</v>
      </c>
      <c r="J314" s="4">
        <v>1993</v>
      </c>
      <c r="K314" s="5" t="s">
        <v>880</v>
      </c>
      <c r="L314" s="6" t="s">
        <v>25</v>
      </c>
      <c r="M314" s="13">
        <v>0</v>
      </c>
      <c r="N314" s="13">
        <v>8</v>
      </c>
      <c r="O314" s="13">
        <v>17</v>
      </c>
      <c r="Q314" s="7">
        <f t="shared" si="3"/>
        <v>0</v>
      </c>
      <c r="R314" s="7">
        <f t="shared" si="4"/>
        <v>0.32</v>
      </c>
      <c r="S314" s="7">
        <f t="shared" si="5"/>
        <v>0.68</v>
      </c>
    </row>
    <row r="315" spans="1:19" ht="17.25" customHeight="1" x14ac:dyDescent="0.2">
      <c r="A315" s="4">
        <v>112845</v>
      </c>
      <c r="B315" s="5" t="s">
        <v>943</v>
      </c>
      <c r="C315" s="5" t="s">
        <v>874</v>
      </c>
      <c r="D315" s="5"/>
      <c r="E315" s="5"/>
      <c r="F315" s="5" t="s">
        <v>186</v>
      </c>
      <c r="G315" s="5" t="s">
        <v>944</v>
      </c>
      <c r="H315" s="4">
        <v>23</v>
      </c>
      <c r="I315" s="4">
        <v>6</v>
      </c>
      <c r="J315" s="4">
        <v>1993</v>
      </c>
      <c r="K315" s="5" t="s">
        <v>945</v>
      </c>
      <c r="L315" s="6" t="s">
        <v>25</v>
      </c>
      <c r="M315" s="13">
        <v>0</v>
      </c>
      <c r="N315" s="13">
        <v>13</v>
      </c>
      <c r="O315" s="13">
        <v>27</v>
      </c>
      <c r="Q315" s="7">
        <f t="shared" si="3"/>
        <v>0</v>
      </c>
      <c r="R315" s="7">
        <f t="shared" si="4"/>
        <v>0.32500000000000001</v>
      </c>
      <c r="S315" s="7">
        <f t="shared" si="5"/>
        <v>0.67500000000000004</v>
      </c>
    </row>
    <row r="316" spans="1:19" ht="16" x14ac:dyDescent="0.2">
      <c r="A316" s="4">
        <v>112848</v>
      </c>
      <c r="B316" s="5" t="s">
        <v>946</v>
      </c>
      <c r="C316" s="5" t="s">
        <v>874</v>
      </c>
      <c r="D316" s="5"/>
      <c r="E316" s="5"/>
      <c r="F316" s="5" t="s">
        <v>186</v>
      </c>
      <c r="G316" s="5" t="s">
        <v>947</v>
      </c>
      <c r="H316" s="4">
        <v>26</v>
      </c>
      <c r="I316" s="4">
        <v>6</v>
      </c>
      <c r="J316" s="4">
        <v>1993</v>
      </c>
      <c r="K316" s="5" t="s">
        <v>948</v>
      </c>
      <c r="L316" s="6" t="s">
        <v>25</v>
      </c>
      <c r="M316" s="13">
        <v>0</v>
      </c>
      <c r="N316" s="13">
        <v>6</v>
      </c>
      <c r="O316" s="13">
        <v>19</v>
      </c>
      <c r="Q316" s="7">
        <f t="shared" si="3"/>
        <v>0</v>
      </c>
      <c r="R316" s="7">
        <f t="shared" si="4"/>
        <v>0.24</v>
      </c>
      <c r="S316" s="7">
        <f t="shared" si="5"/>
        <v>0.76</v>
      </c>
    </row>
    <row r="317" spans="1:19" ht="16" x14ac:dyDescent="0.2">
      <c r="A317" s="4">
        <v>112868</v>
      </c>
      <c r="B317" s="5" t="s">
        <v>949</v>
      </c>
      <c r="C317" s="5" t="s">
        <v>874</v>
      </c>
      <c r="D317" s="5"/>
      <c r="E317" s="5"/>
      <c r="F317" s="5" t="s">
        <v>125</v>
      </c>
      <c r="G317" s="5" t="s">
        <v>950</v>
      </c>
      <c r="H317" s="4">
        <v>22</v>
      </c>
      <c r="I317" s="4">
        <v>6</v>
      </c>
      <c r="J317" s="4">
        <v>1993</v>
      </c>
      <c r="K317" s="5" t="s">
        <v>951</v>
      </c>
      <c r="L317" s="6" t="s">
        <v>25</v>
      </c>
      <c r="M317" s="13">
        <v>0</v>
      </c>
      <c r="N317" s="13">
        <v>24</v>
      </c>
      <c r="O317" s="13">
        <v>19</v>
      </c>
      <c r="Q317" s="7">
        <f t="shared" si="3"/>
        <v>0</v>
      </c>
      <c r="R317" s="7">
        <f t="shared" si="4"/>
        <v>0.55813953488372092</v>
      </c>
      <c r="S317" s="7">
        <f t="shared" si="5"/>
        <v>0.44186046511627908</v>
      </c>
    </row>
    <row r="318" spans="1:19" ht="16" x14ac:dyDescent="0.2">
      <c r="A318" s="4">
        <v>112872</v>
      </c>
      <c r="B318" s="5" t="s">
        <v>952</v>
      </c>
      <c r="C318" s="5" t="s">
        <v>874</v>
      </c>
      <c r="D318" s="5"/>
      <c r="E318" s="5"/>
      <c r="F318" s="5" t="s">
        <v>125</v>
      </c>
      <c r="G318" s="5" t="s">
        <v>953</v>
      </c>
      <c r="H318" s="4">
        <v>22</v>
      </c>
      <c r="I318" s="4">
        <v>6</v>
      </c>
      <c r="J318" s="4">
        <v>1993</v>
      </c>
      <c r="K318" s="5" t="s">
        <v>954</v>
      </c>
      <c r="L318" s="6" t="s">
        <v>25</v>
      </c>
      <c r="M318" s="13">
        <v>1</v>
      </c>
      <c r="N318" s="13">
        <v>47</v>
      </c>
      <c r="O318" s="13">
        <v>68</v>
      </c>
      <c r="Q318" s="7">
        <f t="shared" si="3"/>
        <v>8.6206896551724137E-3</v>
      </c>
      <c r="R318" s="7">
        <f t="shared" si="4"/>
        <v>0.40517241379310343</v>
      </c>
      <c r="S318" s="7">
        <f t="shared" si="5"/>
        <v>0.58620689655172409</v>
      </c>
    </row>
    <row r="319" spans="1:19" ht="16" x14ac:dyDescent="0.2">
      <c r="A319" s="4">
        <v>112878</v>
      </c>
      <c r="B319" s="5" t="s">
        <v>955</v>
      </c>
      <c r="C319" s="5" t="s">
        <v>874</v>
      </c>
      <c r="D319" s="5"/>
      <c r="E319" s="5"/>
      <c r="F319" s="5" t="s">
        <v>125</v>
      </c>
      <c r="G319" s="5" t="s">
        <v>956</v>
      </c>
      <c r="H319" s="4">
        <v>22</v>
      </c>
      <c r="I319" s="4">
        <v>6</v>
      </c>
      <c r="J319" s="4">
        <v>1993</v>
      </c>
      <c r="K319" s="5" t="s">
        <v>957</v>
      </c>
      <c r="L319" s="6" t="s">
        <v>25</v>
      </c>
      <c r="M319" s="13">
        <v>0</v>
      </c>
      <c r="N319" s="13">
        <v>16</v>
      </c>
      <c r="O319" s="13">
        <v>38</v>
      </c>
      <c r="Q319" s="7">
        <f t="shared" si="3"/>
        <v>0</v>
      </c>
      <c r="R319" s="7">
        <f t="shared" si="4"/>
        <v>0.29629629629629628</v>
      </c>
      <c r="S319" s="7">
        <f t="shared" si="5"/>
        <v>0.70370370370370372</v>
      </c>
    </row>
    <row r="320" spans="1:19" ht="16" x14ac:dyDescent="0.2">
      <c r="A320" s="4">
        <v>119805</v>
      </c>
      <c r="B320" s="5" t="s">
        <v>958</v>
      </c>
      <c r="C320" s="5" t="s">
        <v>874</v>
      </c>
      <c r="D320" s="5"/>
      <c r="E320" s="5"/>
      <c r="F320" s="5" t="s">
        <v>125</v>
      </c>
      <c r="G320" s="5" t="s">
        <v>959</v>
      </c>
      <c r="H320" s="4">
        <v>16</v>
      </c>
      <c r="I320" s="4">
        <v>6</v>
      </c>
      <c r="J320" s="4">
        <v>1994</v>
      </c>
      <c r="K320" s="5" t="s">
        <v>960</v>
      </c>
      <c r="L320" s="6" t="s">
        <v>25</v>
      </c>
      <c r="M320" s="13">
        <v>5</v>
      </c>
      <c r="N320" s="13">
        <v>20</v>
      </c>
      <c r="O320" s="13">
        <v>7</v>
      </c>
      <c r="Q320" s="7">
        <f t="shared" si="3"/>
        <v>0.15625</v>
      </c>
      <c r="R320" s="7">
        <f t="shared" si="4"/>
        <v>0.625</v>
      </c>
      <c r="S320" s="7">
        <f t="shared" si="5"/>
        <v>0.21875</v>
      </c>
    </row>
    <row r="321" spans="1:19" ht="16" x14ac:dyDescent="0.2">
      <c r="A321" s="4">
        <v>120174</v>
      </c>
      <c r="B321" s="5" t="s">
        <v>961</v>
      </c>
      <c r="C321" s="5" t="s">
        <v>874</v>
      </c>
      <c r="D321" s="5"/>
      <c r="E321" s="5"/>
      <c r="F321" s="5" t="s">
        <v>129</v>
      </c>
      <c r="G321" s="5" t="s">
        <v>962</v>
      </c>
      <c r="H321" s="4">
        <v>14</v>
      </c>
      <c r="I321" s="4">
        <v>7</v>
      </c>
      <c r="J321" s="4">
        <v>1994</v>
      </c>
      <c r="K321" s="5" t="s">
        <v>963</v>
      </c>
      <c r="L321" s="6" t="s">
        <v>25</v>
      </c>
      <c r="M321" s="13">
        <v>0</v>
      </c>
      <c r="N321" s="13">
        <v>0</v>
      </c>
      <c r="O321" s="13">
        <v>11</v>
      </c>
      <c r="Q321" s="7">
        <f t="shared" si="3"/>
        <v>0</v>
      </c>
      <c r="R321" s="7">
        <f t="shared" si="4"/>
        <v>0</v>
      </c>
      <c r="S321" s="7">
        <f t="shared" si="5"/>
        <v>1</v>
      </c>
    </row>
    <row r="322" spans="1:19" ht="16" x14ac:dyDescent="0.2">
      <c r="A322" s="4">
        <v>120624</v>
      </c>
      <c r="B322" s="5" t="s">
        <v>964</v>
      </c>
      <c r="C322" s="5" t="s">
        <v>874</v>
      </c>
      <c r="D322" s="5"/>
      <c r="E322" s="5"/>
      <c r="F322" s="5" t="s">
        <v>129</v>
      </c>
      <c r="G322" s="5" t="s">
        <v>965</v>
      </c>
      <c r="H322" s="4">
        <v>16</v>
      </c>
      <c r="I322" s="4">
        <v>8</v>
      </c>
      <c r="J322" s="4">
        <v>1994</v>
      </c>
      <c r="K322" s="5" t="s">
        <v>966</v>
      </c>
      <c r="L322" s="6" t="s">
        <v>25</v>
      </c>
      <c r="M322" s="13">
        <v>0</v>
      </c>
      <c r="N322" s="13">
        <v>0</v>
      </c>
      <c r="O322" s="13">
        <v>20</v>
      </c>
      <c r="Q322" s="7">
        <f t="shared" si="3"/>
        <v>0</v>
      </c>
      <c r="R322" s="7">
        <f t="shared" si="4"/>
        <v>0</v>
      </c>
      <c r="S322" s="7">
        <f t="shared" si="5"/>
        <v>1</v>
      </c>
    </row>
    <row r="323" spans="1:19" ht="16" x14ac:dyDescent="0.2">
      <c r="A323" s="4">
        <v>120840</v>
      </c>
      <c r="B323" s="5" t="s">
        <v>967</v>
      </c>
      <c r="C323" s="5" t="s">
        <v>874</v>
      </c>
      <c r="D323" s="5"/>
      <c r="E323" s="5"/>
      <c r="F323" s="5" t="s">
        <v>31</v>
      </c>
      <c r="G323" s="5" t="s">
        <v>968</v>
      </c>
      <c r="H323" s="4">
        <v>16</v>
      </c>
      <c r="I323" s="4">
        <v>8</v>
      </c>
      <c r="J323" s="4">
        <v>1994</v>
      </c>
      <c r="K323" s="5" t="s">
        <v>969</v>
      </c>
      <c r="L323" s="6" t="s">
        <v>25</v>
      </c>
      <c r="M323" s="13">
        <v>0</v>
      </c>
      <c r="N323" s="13">
        <v>0</v>
      </c>
      <c r="O323" s="13">
        <v>3</v>
      </c>
      <c r="Q323" s="7">
        <f t="shared" si="3"/>
        <v>0</v>
      </c>
      <c r="R323" s="7">
        <f t="shared" si="4"/>
        <v>0</v>
      </c>
      <c r="S323" s="7">
        <f t="shared" si="5"/>
        <v>1</v>
      </c>
    </row>
    <row r="324" spans="1:19" ht="16" x14ac:dyDescent="0.2">
      <c r="A324" s="4">
        <v>122448</v>
      </c>
      <c r="B324" s="5" t="s">
        <v>970</v>
      </c>
      <c r="C324" s="5" t="s">
        <v>874</v>
      </c>
      <c r="D324" s="5"/>
      <c r="E324" s="5"/>
      <c r="F324" s="5" t="s">
        <v>125</v>
      </c>
      <c r="G324" s="5" t="s">
        <v>971</v>
      </c>
      <c r="H324" s="4">
        <v>6</v>
      </c>
      <c r="I324" s="4">
        <v>7</v>
      </c>
      <c r="J324" s="4">
        <v>1994</v>
      </c>
      <c r="K324" s="5" t="s">
        <v>960</v>
      </c>
      <c r="L324" s="6" t="s">
        <v>25</v>
      </c>
      <c r="M324" s="13">
        <v>0</v>
      </c>
      <c r="N324" s="13">
        <v>2</v>
      </c>
      <c r="O324" s="13">
        <v>16</v>
      </c>
      <c r="Q324" s="7">
        <f t="shared" si="3"/>
        <v>0</v>
      </c>
      <c r="R324" s="7">
        <f t="shared" si="4"/>
        <v>0.1111111111111111</v>
      </c>
      <c r="S324" s="7">
        <f t="shared" si="5"/>
        <v>0.88888888888888884</v>
      </c>
    </row>
    <row r="325" spans="1:19" ht="16" x14ac:dyDescent="0.2">
      <c r="A325" s="4">
        <v>140376</v>
      </c>
      <c r="B325" s="5" t="s">
        <v>972</v>
      </c>
      <c r="C325" s="5" t="s">
        <v>874</v>
      </c>
      <c r="D325" s="5"/>
      <c r="E325" s="5"/>
      <c r="F325" s="5" t="s">
        <v>973</v>
      </c>
      <c r="G325" s="4">
        <v>271</v>
      </c>
      <c r="H325" s="4">
        <v>15</v>
      </c>
      <c r="I325" s="4">
        <v>6</v>
      </c>
      <c r="J325" s="4">
        <v>1990</v>
      </c>
      <c r="K325" s="5" t="s">
        <v>974</v>
      </c>
      <c r="L325" s="6" t="s">
        <v>25</v>
      </c>
      <c r="M325" s="13">
        <v>73</v>
      </c>
      <c r="N325" s="13">
        <v>84</v>
      </c>
      <c r="O325" s="13">
        <v>0</v>
      </c>
      <c r="Q325" s="7">
        <f t="shared" si="3"/>
        <v>0.46496815286624205</v>
      </c>
      <c r="R325" s="7">
        <f t="shared" si="4"/>
        <v>0.53503184713375795</v>
      </c>
      <c r="S325" s="7">
        <f t="shared" si="5"/>
        <v>0</v>
      </c>
    </row>
    <row r="326" spans="1:19" ht="16" x14ac:dyDescent="0.2">
      <c r="A326" s="4">
        <v>155785</v>
      </c>
      <c r="B326" s="5" t="s">
        <v>975</v>
      </c>
      <c r="C326" s="5" t="s">
        <v>874</v>
      </c>
      <c r="D326" s="5"/>
      <c r="E326" s="5"/>
      <c r="F326" s="5" t="s">
        <v>99</v>
      </c>
      <c r="G326" s="4">
        <v>6</v>
      </c>
      <c r="H326" s="4">
        <v>25</v>
      </c>
      <c r="I326" s="4">
        <v>6</v>
      </c>
      <c r="J326" s="4">
        <v>2003</v>
      </c>
      <c r="K326" s="5" t="s">
        <v>976</v>
      </c>
      <c r="L326" s="6" t="s">
        <v>25</v>
      </c>
      <c r="M326" s="13">
        <v>32</v>
      </c>
      <c r="N326" s="13">
        <v>7</v>
      </c>
      <c r="O326" s="13">
        <v>0</v>
      </c>
      <c r="Q326" s="7">
        <f t="shared" si="3"/>
        <v>0.82051282051282048</v>
      </c>
      <c r="R326" s="7">
        <f t="shared" si="4"/>
        <v>0.17948717948717949</v>
      </c>
      <c r="S326" s="7">
        <f t="shared" si="5"/>
        <v>0</v>
      </c>
    </row>
    <row r="327" spans="1:19" ht="16" x14ac:dyDescent="0.2">
      <c r="A327" s="4">
        <v>158027</v>
      </c>
      <c r="B327" s="5" t="s">
        <v>977</v>
      </c>
      <c r="C327" s="5" t="s">
        <v>874</v>
      </c>
      <c r="D327" s="5"/>
      <c r="E327" s="5"/>
      <c r="F327" s="5" t="s">
        <v>978</v>
      </c>
      <c r="G327" s="5" t="s">
        <v>979</v>
      </c>
      <c r="H327" s="4">
        <v>5</v>
      </c>
      <c r="I327" s="4">
        <v>7</v>
      </c>
      <c r="J327" s="4">
        <v>2005</v>
      </c>
      <c r="K327" s="5" t="s">
        <v>980</v>
      </c>
      <c r="L327" s="6" t="s">
        <v>25</v>
      </c>
      <c r="M327" s="13">
        <v>0</v>
      </c>
      <c r="N327" s="13">
        <v>0</v>
      </c>
      <c r="O327" s="13">
        <v>24</v>
      </c>
      <c r="Q327" s="7">
        <f t="shared" si="3"/>
        <v>0</v>
      </c>
      <c r="R327" s="7">
        <f t="shared" si="4"/>
        <v>0</v>
      </c>
      <c r="S327" s="7">
        <f t="shared" si="5"/>
        <v>1</v>
      </c>
    </row>
    <row r="328" spans="1:19" ht="16" x14ac:dyDescent="0.2">
      <c r="A328" s="4">
        <v>188240</v>
      </c>
      <c r="B328" s="5" t="s">
        <v>981</v>
      </c>
      <c r="C328" s="5" t="s">
        <v>874</v>
      </c>
      <c r="D328" s="5"/>
      <c r="E328" s="5"/>
      <c r="F328" s="5" t="s">
        <v>113</v>
      </c>
      <c r="G328" s="5" t="s">
        <v>982</v>
      </c>
      <c r="H328" s="4">
        <v>27</v>
      </c>
      <c r="I328" s="4">
        <v>6</v>
      </c>
      <c r="J328" s="4">
        <v>2019</v>
      </c>
      <c r="K328" s="5" t="s">
        <v>983</v>
      </c>
      <c r="L328" s="6" t="s">
        <v>25</v>
      </c>
      <c r="M328" s="13">
        <v>0</v>
      </c>
      <c r="N328" s="13">
        <v>0</v>
      </c>
      <c r="O328" s="13">
        <v>13</v>
      </c>
      <c r="Q328" s="7">
        <f t="shared" si="3"/>
        <v>0</v>
      </c>
      <c r="R328" s="7">
        <f t="shared" si="4"/>
        <v>0</v>
      </c>
      <c r="S328" s="7">
        <f t="shared" si="5"/>
        <v>1</v>
      </c>
    </row>
    <row r="329" spans="1:19" ht="16" x14ac:dyDescent="0.2">
      <c r="A329" s="4">
        <v>65114</v>
      </c>
      <c r="B329" s="5" t="s">
        <v>984</v>
      </c>
      <c r="C329" s="5" t="s">
        <v>985</v>
      </c>
      <c r="D329" s="5"/>
      <c r="E329" s="5"/>
      <c r="F329" s="5" t="s">
        <v>695</v>
      </c>
      <c r="G329" s="5" t="s">
        <v>167</v>
      </c>
      <c r="H329" s="4">
        <v>28</v>
      </c>
      <c r="I329" s="4">
        <v>6</v>
      </c>
      <c r="J329" s="4">
        <v>1984</v>
      </c>
      <c r="K329" s="5" t="s">
        <v>986</v>
      </c>
      <c r="L329" s="6" t="s">
        <v>25</v>
      </c>
      <c r="M329" s="13">
        <v>3</v>
      </c>
      <c r="N329" s="13">
        <v>12</v>
      </c>
      <c r="O329" s="13">
        <v>32</v>
      </c>
      <c r="Q329" s="7">
        <f t="shared" si="3"/>
        <v>6.3829787234042548E-2</v>
      </c>
      <c r="R329" s="7">
        <f t="shared" si="4"/>
        <v>0.25531914893617019</v>
      </c>
      <c r="S329" s="7">
        <f t="shared" si="5"/>
        <v>0.68085106382978722</v>
      </c>
    </row>
    <row r="330" spans="1:19" ht="16" x14ac:dyDescent="0.2">
      <c r="A330" s="4">
        <v>112730</v>
      </c>
      <c r="B330" s="5" t="s">
        <v>987</v>
      </c>
      <c r="C330" s="5" t="s">
        <v>985</v>
      </c>
      <c r="D330" s="5"/>
      <c r="E330" s="5"/>
      <c r="F330" s="5" t="s">
        <v>186</v>
      </c>
      <c r="G330" s="5" t="s">
        <v>988</v>
      </c>
      <c r="H330" s="4">
        <v>16</v>
      </c>
      <c r="I330" s="4">
        <v>6</v>
      </c>
      <c r="J330" s="4">
        <v>1993</v>
      </c>
      <c r="K330" s="5" t="s">
        <v>989</v>
      </c>
      <c r="L330" s="6" t="s">
        <v>25</v>
      </c>
      <c r="M330" s="13">
        <v>16</v>
      </c>
      <c r="N330" s="13">
        <v>39</v>
      </c>
      <c r="O330" s="13">
        <v>2</v>
      </c>
      <c r="Q330" s="7">
        <f t="shared" si="3"/>
        <v>0.2807017543859649</v>
      </c>
      <c r="R330" s="7">
        <f t="shared" si="4"/>
        <v>0.68421052631578949</v>
      </c>
      <c r="S330" s="7">
        <f t="shared" si="5"/>
        <v>3.5087719298245612E-2</v>
      </c>
    </row>
    <row r="331" spans="1:19" ht="16" x14ac:dyDescent="0.2">
      <c r="A331" s="4">
        <v>112754</v>
      </c>
      <c r="B331" s="5" t="s">
        <v>990</v>
      </c>
      <c r="C331" s="5" t="s">
        <v>985</v>
      </c>
      <c r="D331" s="5"/>
      <c r="E331" s="5"/>
      <c r="F331" s="5" t="s">
        <v>186</v>
      </c>
      <c r="G331" s="5" t="s">
        <v>991</v>
      </c>
      <c r="H331" s="4">
        <v>16</v>
      </c>
      <c r="I331" s="4">
        <v>6</v>
      </c>
      <c r="J331" s="4">
        <v>1993</v>
      </c>
      <c r="K331" s="5" t="s">
        <v>992</v>
      </c>
      <c r="L331" s="6" t="s">
        <v>25</v>
      </c>
      <c r="M331" s="13">
        <v>6</v>
      </c>
      <c r="N331" s="13">
        <v>24</v>
      </c>
      <c r="O331" s="13">
        <v>4</v>
      </c>
      <c r="Q331" s="7">
        <f t="shared" si="3"/>
        <v>0.17647058823529413</v>
      </c>
      <c r="R331" s="7">
        <f t="shared" si="4"/>
        <v>0.70588235294117652</v>
      </c>
      <c r="S331" s="7">
        <f t="shared" si="5"/>
        <v>0.11764705882352941</v>
      </c>
    </row>
    <row r="332" spans="1:19" ht="16" x14ac:dyDescent="0.2">
      <c r="A332" s="4">
        <v>138173</v>
      </c>
      <c r="B332" s="5" t="s">
        <v>993</v>
      </c>
      <c r="C332" s="5" t="s">
        <v>985</v>
      </c>
      <c r="D332" s="5"/>
      <c r="E332" s="5"/>
      <c r="F332" s="5" t="s">
        <v>994</v>
      </c>
      <c r="G332" s="5" t="s">
        <v>995</v>
      </c>
      <c r="H332" s="4">
        <v>6</v>
      </c>
      <c r="I332" s="4">
        <v>8</v>
      </c>
      <c r="J332" s="4">
        <v>1997</v>
      </c>
      <c r="K332" s="5" t="s">
        <v>996</v>
      </c>
      <c r="L332" s="6" t="s">
        <v>25</v>
      </c>
      <c r="M332" s="13">
        <v>0</v>
      </c>
      <c r="N332" s="13">
        <v>0</v>
      </c>
      <c r="O332" s="13">
        <v>13</v>
      </c>
      <c r="Q332" s="7">
        <f t="shared" si="3"/>
        <v>0</v>
      </c>
      <c r="R332" s="7">
        <f t="shared" si="4"/>
        <v>0</v>
      </c>
      <c r="S332" s="7">
        <f t="shared" si="5"/>
        <v>1</v>
      </c>
    </row>
    <row r="333" spans="1:19" ht="16" x14ac:dyDescent="0.2">
      <c r="A333" s="4">
        <v>188465</v>
      </c>
      <c r="B333" s="5" t="s">
        <v>997</v>
      </c>
      <c r="C333" s="5" t="s">
        <v>998</v>
      </c>
      <c r="D333" s="5"/>
      <c r="E333" s="5"/>
      <c r="F333" s="5" t="s">
        <v>47</v>
      </c>
      <c r="G333" s="5" t="s">
        <v>999</v>
      </c>
      <c r="H333" s="4">
        <v>25</v>
      </c>
      <c r="I333" s="4">
        <v>9</v>
      </c>
      <c r="J333" s="4">
        <v>2018</v>
      </c>
      <c r="K333" s="5" t="s">
        <v>1000</v>
      </c>
      <c r="L333" s="6" t="s">
        <v>25</v>
      </c>
      <c r="M333" s="13">
        <v>0</v>
      </c>
      <c r="N333" s="13">
        <v>0</v>
      </c>
      <c r="O333" s="13">
        <v>1</v>
      </c>
      <c r="Q333" s="7">
        <f t="shared" si="3"/>
        <v>0</v>
      </c>
      <c r="R333" s="7">
        <f t="shared" si="4"/>
        <v>0</v>
      </c>
      <c r="S333" s="7">
        <f t="shared" si="5"/>
        <v>1</v>
      </c>
    </row>
    <row r="334" spans="1:19" ht="16" x14ac:dyDescent="0.2">
      <c r="A334" s="4">
        <v>187835</v>
      </c>
      <c r="B334" s="5" t="s">
        <v>1001</v>
      </c>
      <c r="C334" s="5" t="s">
        <v>1002</v>
      </c>
      <c r="D334" s="5"/>
      <c r="E334" s="5"/>
      <c r="F334" s="5" t="s">
        <v>47</v>
      </c>
      <c r="G334" s="5" t="s">
        <v>1003</v>
      </c>
      <c r="H334" s="4">
        <v>3</v>
      </c>
      <c r="I334" s="4">
        <v>8</v>
      </c>
      <c r="J334" s="4">
        <v>2018</v>
      </c>
      <c r="K334" s="5" t="s">
        <v>1004</v>
      </c>
      <c r="L334" s="6" t="s">
        <v>25</v>
      </c>
      <c r="M334" s="13">
        <v>0</v>
      </c>
      <c r="N334" s="13">
        <v>0</v>
      </c>
      <c r="O334" s="13">
        <v>3</v>
      </c>
      <c r="Q334" s="7">
        <f t="shared" si="3"/>
        <v>0</v>
      </c>
      <c r="R334" s="7">
        <f t="shared" si="4"/>
        <v>0</v>
      </c>
      <c r="S334" s="7">
        <f t="shared" si="5"/>
        <v>1</v>
      </c>
    </row>
    <row r="335" spans="1:19" ht="16" x14ac:dyDescent="0.2">
      <c r="A335" s="4">
        <v>188239</v>
      </c>
      <c r="B335" s="5" t="s">
        <v>1005</v>
      </c>
      <c r="C335" s="5" t="s">
        <v>1002</v>
      </c>
      <c r="D335" s="5"/>
      <c r="E335" s="5"/>
      <c r="F335" s="5" t="s">
        <v>113</v>
      </c>
      <c r="G335" s="5" t="s">
        <v>1006</v>
      </c>
      <c r="H335" s="4">
        <v>27</v>
      </c>
      <c r="I335" s="4">
        <v>6</v>
      </c>
      <c r="J335" s="4">
        <v>2019</v>
      </c>
      <c r="K335" s="5" t="s">
        <v>1007</v>
      </c>
      <c r="L335" s="6" t="s">
        <v>25</v>
      </c>
      <c r="M335" s="13">
        <v>0</v>
      </c>
      <c r="N335" s="13">
        <v>1</v>
      </c>
      <c r="O335" s="13">
        <v>7</v>
      </c>
      <c r="Q335" s="7">
        <f t="shared" si="3"/>
        <v>0</v>
      </c>
      <c r="R335" s="7">
        <f t="shared" si="4"/>
        <v>0.125</v>
      </c>
      <c r="S335" s="7">
        <f t="shared" si="5"/>
        <v>0.875</v>
      </c>
    </row>
    <row r="336" spans="1:19" ht="16" x14ac:dyDescent="0.2">
      <c r="A336" s="4">
        <v>194766</v>
      </c>
      <c r="B336" s="5" t="s">
        <v>1008</v>
      </c>
      <c r="C336" s="5" t="s">
        <v>1002</v>
      </c>
      <c r="D336" s="5"/>
      <c r="E336" s="5"/>
      <c r="F336" s="5" t="s">
        <v>1009</v>
      </c>
      <c r="G336" s="5" t="s">
        <v>1010</v>
      </c>
      <c r="H336" s="4">
        <v>19</v>
      </c>
      <c r="I336" s="4">
        <v>6</v>
      </c>
      <c r="J336" s="4">
        <v>2025</v>
      </c>
      <c r="K336" s="5" t="s">
        <v>1011</v>
      </c>
      <c r="L336" s="6" t="s">
        <v>25</v>
      </c>
      <c r="M336" s="4">
        <v>51</v>
      </c>
      <c r="N336" s="4">
        <v>54</v>
      </c>
      <c r="O336" s="4">
        <v>0</v>
      </c>
      <c r="Q336" s="7">
        <f t="shared" si="3"/>
        <v>0.48571428571428571</v>
      </c>
      <c r="R336" s="7">
        <f t="shared" si="4"/>
        <v>0.51428571428571423</v>
      </c>
      <c r="S336" s="7">
        <f t="shared" si="5"/>
        <v>0</v>
      </c>
    </row>
    <row r="337" spans="1:19" ht="16" x14ac:dyDescent="0.2">
      <c r="A337" s="4">
        <v>36843</v>
      </c>
      <c r="B337" s="5" t="s">
        <v>1012</v>
      </c>
      <c r="C337" s="5" t="s">
        <v>1013</v>
      </c>
      <c r="D337" s="5"/>
      <c r="E337" s="5"/>
      <c r="F337" s="5" t="s">
        <v>119</v>
      </c>
      <c r="G337" s="4">
        <v>4749</v>
      </c>
      <c r="H337" s="4">
        <v>6</v>
      </c>
      <c r="I337" s="4">
        <v>7</v>
      </c>
      <c r="J337" s="4">
        <v>1979</v>
      </c>
      <c r="K337" s="5" t="s">
        <v>1014</v>
      </c>
      <c r="L337" s="6" t="s">
        <v>25</v>
      </c>
      <c r="M337" s="13">
        <v>7</v>
      </c>
      <c r="N337" s="13">
        <v>20</v>
      </c>
      <c r="O337" s="13">
        <v>4</v>
      </c>
      <c r="Q337" s="7">
        <f t="shared" si="3"/>
        <v>0.22580645161290322</v>
      </c>
      <c r="R337" s="7">
        <f t="shared" si="4"/>
        <v>0.64516129032258063</v>
      </c>
      <c r="S337" s="7">
        <f t="shared" si="5"/>
        <v>0.12903225806451613</v>
      </c>
    </row>
    <row r="338" spans="1:19" ht="16" x14ac:dyDescent="0.2">
      <c r="A338" s="4">
        <v>64084</v>
      </c>
      <c r="B338" s="5" t="s">
        <v>1015</v>
      </c>
      <c r="C338" s="5" t="s">
        <v>1013</v>
      </c>
      <c r="D338" s="5"/>
      <c r="E338" s="5"/>
      <c r="F338" s="5" t="s">
        <v>22</v>
      </c>
      <c r="G338" s="5" t="s">
        <v>1016</v>
      </c>
      <c r="H338" s="4">
        <v>18</v>
      </c>
      <c r="I338" s="4">
        <v>7</v>
      </c>
      <c r="J338" s="4">
        <v>1985</v>
      </c>
      <c r="K338" s="5" t="s">
        <v>1017</v>
      </c>
      <c r="L338" s="6" t="s">
        <v>25</v>
      </c>
      <c r="M338" s="13">
        <v>0</v>
      </c>
      <c r="N338" s="13">
        <v>1</v>
      </c>
      <c r="O338" s="13">
        <v>49</v>
      </c>
      <c r="Q338" s="7">
        <f t="shared" si="3"/>
        <v>0</v>
      </c>
      <c r="R338" s="7">
        <f t="shared" si="4"/>
        <v>0.02</v>
      </c>
      <c r="S338" s="7">
        <f t="shared" si="5"/>
        <v>0.98</v>
      </c>
    </row>
    <row r="339" spans="1:19" ht="16" x14ac:dyDescent="0.2">
      <c r="A339" s="4">
        <v>120673</v>
      </c>
      <c r="B339" s="5" t="s">
        <v>1018</v>
      </c>
      <c r="C339" s="5" t="s">
        <v>1013</v>
      </c>
      <c r="D339" s="5"/>
      <c r="E339" s="5"/>
      <c r="F339" s="5" t="s">
        <v>129</v>
      </c>
      <c r="G339" s="5" t="s">
        <v>1019</v>
      </c>
      <c r="H339" s="4">
        <v>14</v>
      </c>
      <c r="I339" s="4">
        <v>7</v>
      </c>
      <c r="J339" s="4">
        <v>1994</v>
      </c>
      <c r="K339" s="5" t="s">
        <v>1020</v>
      </c>
      <c r="L339" s="6" t="s">
        <v>25</v>
      </c>
      <c r="M339" s="13">
        <v>0</v>
      </c>
      <c r="N339" s="13">
        <v>0</v>
      </c>
      <c r="O339" s="13">
        <v>70</v>
      </c>
      <c r="Q339" s="7">
        <f t="shared" si="3"/>
        <v>0</v>
      </c>
      <c r="R339" s="7">
        <f t="shared" si="4"/>
        <v>0</v>
      </c>
      <c r="S339" s="7">
        <f t="shared" si="5"/>
        <v>1</v>
      </c>
    </row>
    <row r="340" spans="1:19" ht="16" x14ac:dyDescent="0.2">
      <c r="A340" s="4">
        <v>132909</v>
      </c>
      <c r="B340" s="5" t="s">
        <v>1021</v>
      </c>
      <c r="C340" s="5" t="s">
        <v>1013</v>
      </c>
      <c r="D340" s="5"/>
      <c r="E340" s="5"/>
      <c r="F340" s="5" t="s">
        <v>31</v>
      </c>
      <c r="G340" s="5" t="s">
        <v>1022</v>
      </c>
      <c r="H340" s="4">
        <v>10</v>
      </c>
      <c r="I340" s="4">
        <v>9</v>
      </c>
      <c r="J340" s="4">
        <v>1996</v>
      </c>
      <c r="K340" s="5" t="s">
        <v>1023</v>
      </c>
      <c r="L340" s="6" t="s">
        <v>25</v>
      </c>
      <c r="M340" s="13">
        <v>0</v>
      </c>
      <c r="N340" s="13">
        <v>0</v>
      </c>
      <c r="O340" s="13">
        <v>18</v>
      </c>
      <c r="Q340" s="7">
        <f t="shared" si="3"/>
        <v>0</v>
      </c>
      <c r="R340" s="7">
        <f t="shared" si="4"/>
        <v>0</v>
      </c>
      <c r="S340" s="7">
        <f t="shared" si="5"/>
        <v>1</v>
      </c>
    </row>
    <row r="341" spans="1:19" ht="16" x14ac:dyDescent="0.2">
      <c r="A341" s="4">
        <v>143984</v>
      </c>
      <c r="B341" s="5" t="s">
        <v>1024</v>
      </c>
      <c r="C341" s="5" t="s">
        <v>1013</v>
      </c>
      <c r="D341" s="5"/>
      <c r="E341" s="5"/>
      <c r="F341" s="5" t="s">
        <v>704</v>
      </c>
      <c r="G341" s="5" t="s">
        <v>167</v>
      </c>
      <c r="H341" s="4">
        <v>28</v>
      </c>
      <c r="I341" s="4">
        <v>6</v>
      </c>
      <c r="J341" s="4">
        <v>1999</v>
      </c>
      <c r="K341" s="5" t="s">
        <v>1025</v>
      </c>
      <c r="L341" s="6" t="s">
        <v>25</v>
      </c>
      <c r="M341" s="13">
        <v>14</v>
      </c>
      <c r="N341" s="13">
        <v>22</v>
      </c>
      <c r="O341" s="13">
        <v>0</v>
      </c>
      <c r="Q341" s="7">
        <f t="shared" si="3"/>
        <v>0.3888888888888889</v>
      </c>
      <c r="R341" s="7">
        <f t="shared" si="4"/>
        <v>0.61111111111111116</v>
      </c>
      <c r="S341" s="7">
        <f t="shared" si="5"/>
        <v>0</v>
      </c>
    </row>
    <row r="342" spans="1:19" ht="16" x14ac:dyDescent="0.2">
      <c r="A342" s="4">
        <v>77032</v>
      </c>
      <c r="B342" s="5" t="s">
        <v>1026</v>
      </c>
      <c r="C342" s="5" t="s">
        <v>1027</v>
      </c>
      <c r="D342" s="5"/>
      <c r="E342" s="5"/>
      <c r="F342" s="5" t="s">
        <v>22</v>
      </c>
      <c r="G342" s="5" t="s">
        <v>1028</v>
      </c>
      <c r="H342" s="4">
        <v>10</v>
      </c>
      <c r="I342" s="4">
        <v>8</v>
      </c>
      <c r="J342" s="4">
        <v>1987</v>
      </c>
      <c r="K342" s="5" t="s">
        <v>1029</v>
      </c>
      <c r="L342" s="6" t="s">
        <v>25</v>
      </c>
      <c r="M342" s="13">
        <v>0</v>
      </c>
      <c r="N342" s="13">
        <v>0</v>
      </c>
      <c r="O342" s="13">
        <v>10</v>
      </c>
      <c r="Q342" s="7">
        <f t="shared" si="3"/>
        <v>0</v>
      </c>
      <c r="R342" s="7">
        <f t="shared" si="4"/>
        <v>0</v>
      </c>
      <c r="S342" s="7">
        <f t="shared" si="5"/>
        <v>1</v>
      </c>
    </row>
    <row r="343" spans="1:19" ht="16" x14ac:dyDescent="0.2">
      <c r="A343" s="4">
        <v>177301</v>
      </c>
      <c r="B343" s="5" t="s">
        <v>1030</v>
      </c>
      <c r="C343" s="5" t="s">
        <v>1027</v>
      </c>
      <c r="D343" s="5"/>
      <c r="E343" s="5"/>
      <c r="F343" s="5" t="s">
        <v>277</v>
      </c>
      <c r="G343" s="5" t="s">
        <v>1031</v>
      </c>
      <c r="H343" s="4">
        <v>1</v>
      </c>
      <c r="I343" s="4">
        <v>8</v>
      </c>
      <c r="J343" s="4">
        <v>2013</v>
      </c>
      <c r="K343" s="5" t="s">
        <v>1032</v>
      </c>
      <c r="L343" s="6" t="s">
        <v>25</v>
      </c>
      <c r="M343" s="13">
        <v>0</v>
      </c>
      <c r="N343" s="13">
        <v>0</v>
      </c>
      <c r="O343" s="13">
        <v>7</v>
      </c>
      <c r="Q343" s="7">
        <f t="shared" si="3"/>
        <v>0</v>
      </c>
      <c r="R343" s="7">
        <f t="shared" si="4"/>
        <v>0</v>
      </c>
      <c r="S343" s="7">
        <f t="shared" si="5"/>
        <v>1</v>
      </c>
    </row>
    <row r="344" spans="1:19" ht="16" x14ac:dyDescent="0.2">
      <c r="A344" s="4">
        <v>172684</v>
      </c>
      <c r="B344" s="5" t="s">
        <v>1033</v>
      </c>
      <c r="C344" s="5" t="s">
        <v>1034</v>
      </c>
      <c r="D344" s="5"/>
      <c r="E344" s="5"/>
      <c r="F344" s="5" t="s">
        <v>113</v>
      </c>
      <c r="G344" s="5" t="s">
        <v>1035</v>
      </c>
      <c r="H344" s="4">
        <v>16</v>
      </c>
      <c r="I344" s="4">
        <v>8</v>
      </c>
      <c r="J344" s="4">
        <v>2011</v>
      </c>
      <c r="K344" s="5" t="s">
        <v>1036</v>
      </c>
      <c r="L344" s="6" t="s">
        <v>25</v>
      </c>
      <c r="M344" s="13">
        <v>0</v>
      </c>
      <c r="N344" s="13">
        <v>0</v>
      </c>
      <c r="O344" s="13">
        <v>6</v>
      </c>
      <c r="Q344" s="7">
        <f t="shared" si="3"/>
        <v>0</v>
      </c>
      <c r="R344" s="7">
        <f t="shared" si="4"/>
        <v>0</v>
      </c>
      <c r="S344" s="7">
        <f t="shared" si="5"/>
        <v>1</v>
      </c>
    </row>
    <row r="345" spans="1:19" ht="16" x14ac:dyDescent="0.2">
      <c r="A345" s="4">
        <v>190644</v>
      </c>
      <c r="B345" s="5" t="s">
        <v>1037</v>
      </c>
      <c r="C345" s="5" t="s">
        <v>1034</v>
      </c>
      <c r="D345" s="5"/>
      <c r="E345" s="5"/>
      <c r="F345" s="5" t="s">
        <v>47</v>
      </c>
      <c r="G345" s="5" t="s">
        <v>1038</v>
      </c>
      <c r="H345" s="4">
        <v>23</v>
      </c>
      <c r="I345" s="4">
        <v>9</v>
      </c>
      <c r="J345" s="4">
        <v>2020</v>
      </c>
      <c r="K345" s="5" t="s">
        <v>1039</v>
      </c>
      <c r="L345" s="6" t="s">
        <v>25</v>
      </c>
      <c r="M345" s="13">
        <v>0</v>
      </c>
      <c r="N345" s="13">
        <v>0</v>
      </c>
      <c r="O345" s="13">
        <v>0</v>
      </c>
      <c r="Q345" s="7" t="e">
        <f t="shared" si="3"/>
        <v>#DIV/0!</v>
      </c>
      <c r="R345" s="7" t="e">
        <f t="shared" si="4"/>
        <v>#DIV/0!</v>
      </c>
      <c r="S345" s="7" t="e">
        <f t="shared" si="5"/>
        <v>#DIV/0!</v>
      </c>
    </row>
    <row r="346" spans="1:19" ht="16" x14ac:dyDescent="0.2">
      <c r="A346" s="4">
        <v>194999</v>
      </c>
      <c r="B346" s="5" t="s">
        <v>1040</v>
      </c>
      <c r="C346" s="8" t="s">
        <v>1034</v>
      </c>
      <c r="D346" s="5"/>
      <c r="E346" s="5"/>
      <c r="F346" s="5" t="s">
        <v>273</v>
      </c>
      <c r="G346" s="5" t="s">
        <v>1041</v>
      </c>
      <c r="H346" s="4">
        <v>3</v>
      </c>
      <c r="I346" s="4">
        <v>7</v>
      </c>
      <c r="J346" s="4">
        <v>2025</v>
      </c>
      <c r="K346" s="5" t="s">
        <v>1042</v>
      </c>
      <c r="L346" s="6" t="s">
        <v>116</v>
      </c>
      <c r="Q346" s="7" t="e">
        <f t="shared" si="3"/>
        <v>#DIV/0!</v>
      </c>
      <c r="R346" s="7" t="e">
        <f t="shared" si="4"/>
        <v>#DIV/0!</v>
      </c>
      <c r="S346" s="7" t="e">
        <f t="shared" si="5"/>
        <v>#DIV/0!</v>
      </c>
    </row>
    <row r="347" spans="1:19" ht="16" x14ac:dyDescent="0.2">
      <c r="A347" s="15">
        <v>28387</v>
      </c>
      <c r="B347" s="16" t="s">
        <v>1043</v>
      </c>
      <c r="C347" s="16" t="s">
        <v>1044</v>
      </c>
      <c r="D347" s="5"/>
      <c r="E347" s="5"/>
      <c r="F347" s="16" t="s">
        <v>170</v>
      </c>
      <c r="G347" s="16" t="s">
        <v>167</v>
      </c>
      <c r="H347" s="15">
        <v>14</v>
      </c>
      <c r="I347" s="15">
        <v>10</v>
      </c>
      <c r="J347" s="15">
        <v>1971</v>
      </c>
      <c r="K347" s="16" t="s">
        <v>1045</v>
      </c>
      <c r="L347" s="17" t="s">
        <v>25</v>
      </c>
      <c r="M347" s="18">
        <v>0</v>
      </c>
      <c r="N347" s="18">
        <v>0</v>
      </c>
      <c r="O347" s="18">
        <v>3</v>
      </c>
      <c r="P347" s="18"/>
      <c r="Q347" s="19">
        <f t="shared" si="3"/>
        <v>0</v>
      </c>
      <c r="R347" s="19">
        <f t="shared" si="4"/>
        <v>0</v>
      </c>
      <c r="S347" s="19">
        <f t="shared" si="5"/>
        <v>1</v>
      </c>
    </row>
    <row r="348" spans="1:19" ht="16" x14ac:dyDescent="0.2">
      <c r="A348" s="4">
        <v>28391</v>
      </c>
      <c r="B348" s="5" t="s">
        <v>1046</v>
      </c>
      <c r="C348" s="5" t="s">
        <v>1044</v>
      </c>
      <c r="D348" s="5"/>
      <c r="E348" s="5"/>
      <c r="F348" s="5" t="s">
        <v>170</v>
      </c>
      <c r="G348" s="4">
        <v>436</v>
      </c>
      <c r="H348" s="4">
        <v>2</v>
      </c>
      <c r="I348" s="4">
        <v>7</v>
      </c>
      <c r="J348" s="4">
        <v>1970</v>
      </c>
      <c r="K348" s="5" t="s">
        <v>1047</v>
      </c>
      <c r="L348" s="6" t="s">
        <v>25</v>
      </c>
      <c r="M348" s="13">
        <v>12</v>
      </c>
      <c r="N348" s="13">
        <v>10</v>
      </c>
      <c r="O348" s="13">
        <v>0</v>
      </c>
      <c r="Q348" s="7">
        <f t="shared" si="3"/>
        <v>0.54545454545454541</v>
      </c>
      <c r="R348" s="7">
        <f t="shared" si="4"/>
        <v>0.45454545454545453</v>
      </c>
      <c r="S348" s="7">
        <f t="shared" si="5"/>
        <v>0</v>
      </c>
    </row>
    <row r="349" spans="1:19" ht="16" x14ac:dyDescent="0.2">
      <c r="A349" s="4">
        <v>28392</v>
      </c>
      <c r="B349" s="5" t="s">
        <v>1048</v>
      </c>
      <c r="C349" s="5" t="s">
        <v>1044</v>
      </c>
      <c r="D349" s="5"/>
      <c r="E349" s="5"/>
      <c r="F349" s="5" t="s">
        <v>798</v>
      </c>
      <c r="G349" s="5" t="s">
        <v>167</v>
      </c>
      <c r="H349" s="4">
        <v>23</v>
      </c>
      <c r="I349" s="4">
        <v>7</v>
      </c>
      <c r="J349" s="4">
        <v>1964</v>
      </c>
      <c r="K349" s="5" t="s">
        <v>1047</v>
      </c>
      <c r="L349" s="6" t="s">
        <v>25</v>
      </c>
      <c r="M349" s="13">
        <v>0</v>
      </c>
      <c r="N349" s="13">
        <v>0</v>
      </c>
      <c r="O349" s="13">
        <v>2</v>
      </c>
      <c r="Q349" s="7">
        <f t="shared" si="3"/>
        <v>0</v>
      </c>
      <c r="R349" s="7">
        <f t="shared" si="4"/>
        <v>0</v>
      </c>
      <c r="S349" s="7">
        <f t="shared" si="5"/>
        <v>1</v>
      </c>
    </row>
    <row r="350" spans="1:19" ht="16" x14ac:dyDescent="0.2">
      <c r="A350" s="4">
        <v>34696</v>
      </c>
      <c r="B350" s="5" t="s">
        <v>1049</v>
      </c>
      <c r="C350" s="5" t="s">
        <v>1044</v>
      </c>
      <c r="D350" s="5"/>
      <c r="E350" s="5"/>
      <c r="F350" s="5" t="s">
        <v>119</v>
      </c>
      <c r="G350" s="4">
        <v>4449</v>
      </c>
      <c r="H350" s="4">
        <v>6</v>
      </c>
      <c r="I350" s="4">
        <v>10</v>
      </c>
      <c r="J350" s="4">
        <v>1978</v>
      </c>
      <c r="K350" s="5" t="s">
        <v>1050</v>
      </c>
      <c r="L350" s="6" t="s">
        <v>25</v>
      </c>
      <c r="M350" s="13">
        <v>0</v>
      </c>
      <c r="N350" s="13">
        <v>0</v>
      </c>
      <c r="O350" s="13">
        <v>10</v>
      </c>
      <c r="Q350" s="7">
        <f t="shared" si="3"/>
        <v>0</v>
      </c>
      <c r="R350" s="7">
        <f t="shared" si="4"/>
        <v>0</v>
      </c>
      <c r="S350" s="7">
        <f t="shared" si="5"/>
        <v>1</v>
      </c>
    </row>
    <row r="351" spans="1:19" ht="16" x14ac:dyDescent="0.2">
      <c r="A351" s="4">
        <v>36844</v>
      </c>
      <c r="B351" s="5" t="s">
        <v>1051</v>
      </c>
      <c r="C351" s="5" t="s">
        <v>1044</v>
      </c>
      <c r="D351" s="5"/>
      <c r="E351" s="5"/>
      <c r="F351" s="5" t="s">
        <v>119</v>
      </c>
      <c r="G351" s="4">
        <v>4759</v>
      </c>
      <c r="H351" s="4">
        <v>9</v>
      </c>
      <c r="I351" s="4">
        <v>7</v>
      </c>
      <c r="J351" s="4">
        <v>1979</v>
      </c>
      <c r="K351" s="5" t="s">
        <v>1052</v>
      </c>
      <c r="L351" s="6" t="s">
        <v>25</v>
      </c>
      <c r="M351" s="13">
        <v>12</v>
      </c>
      <c r="N351" s="13">
        <v>15</v>
      </c>
      <c r="O351" s="13">
        <v>1</v>
      </c>
      <c r="Q351" s="7">
        <f t="shared" si="3"/>
        <v>0.42857142857142855</v>
      </c>
      <c r="R351" s="7">
        <f t="shared" si="4"/>
        <v>0.5357142857142857</v>
      </c>
      <c r="S351" s="7">
        <f t="shared" si="5"/>
        <v>3.5714285714285712E-2</v>
      </c>
    </row>
    <row r="352" spans="1:19" ht="16" x14ac:dyDescent="0.2">
      <c r="A352" s="4">
        <v>74120</v>
      </c>
      <c r="B352" s="5" t="s">
        <v>1053</v>
      </c>
      <c r="C352" s="5" t="s">
        <v>1044</v>
      </c>
      <c r="D352" s="5"/>
      <c r="E352" s="5"/>
      <c r="F352" s="5" t="s">
        <v>22</v>
      </c>
      <c r="G352" s="5" t="s">
        <v>1054</v>
      </c>
      <c r="H352" s="4">
        <v>8</v>
      </c>
      <c r="I352" s="4">
        <v>7</v>
      </c>
      <c r="J352" s="4">
        <v>1987</v>
      </c>
      <c r="K352" s="5" t="s">
        <v>1055</v>
      </c>
      <c r="L352" s="6" t="s">
        <v>25</v>
      </c>
      <c r="M352" s="13">
        <v>0</v>
      </c>
      <c r="N352" s="13">
        <v>0</v>
      </c>
      <c r="O352" s="13">
        <v>3</v>
      </c>
      <c r="Q352" s="7">
        <f t="shared" si="3"/>
        <v>0</v>
      </c>
      <c r="R352" s="7">
        <f t="shared" si="4"/>
        <v>0</v>
      </c>
      <c r="S352" s="7">
        <f t="shared" si="5"/>
        <v>1</v>
      </c>
    </row>
    <row r="353" spans="1:19" ht="16" x14ac:dyDescent="0.2">
      <c r="A353" s="4">
        <v>74188</v>
      </c>
      <c r="B353" s="5" t="s">
        <v>1056</v>
      </c>
      <c r="C353" s="5" t="s">
        <v>1044</v>
      </c>
      <c r="D353" s="5"/>
      <c r="E353" s="5"/>
      <c r="F353" s="5" t="s">
        <v>22</v>
      </c>
      <c r="G353" s="5" t="s">
        <v>1057</v>
      </c>
      <c r="H353" s="4">
        <v>8</v>
      </c>
      <c r="I353" s="4">
        <v>7</v>
      </c>
      <c r="J353" s="4">
        <v>1987</v>
      </c>
      <c r="K353" s="5" t="s">
        <v>1058</v>
      </c>
      <c r="L353" s="6" t="s">
        <v>25</v>
      </c>
      <c r="M353" s="13">
        <v>0</v>
      </c>
      <c r="N353" s="13">
        <v>3</v>
      </c>
      <c r="O353" s="13">
        <v>8</v>
      </c>
      <c r="Q353" s="7">
        <f t="shared" si="3"/>
        <v>0</v>
      </c>
      <c r="R353" s="7">
        <f t="shared" si="4"/>
        <v>0.27272727272727271</v>
      </c>
      <c r="S353" s="7">
        <f t="shared" si="5"/>
        <v>0.72727272727272729</v>
      </c>
    </row>
    <row r="354" spans="1:19" ht="16" x14ac:dyDescent="0.2">
      <c r="A354" s="4">
        <v>76714</v>
      </c>
      <c r="B354" s="5" t="s">
        <v>1059</v>
      </c>
      <c r="C354" s="5" t="s">
        <v>1044</v>
      </c>
      <c r="D354" s="5"/>
      <c r="E354" s="5"/>
      <c r="F354" s="5" t="s">
        <v>22</v>
      </c>
      <c r="G354" s="5" t="s">
        <v>1060</v>
      </c>
      <c r="H354" s="4">
        <v>5</v>
      </c>
      <c r="I354" s="4">
        <v>8</v>
      </c>
      <c r="J354" s="4">
        <v>1987</v>
      </c>
      <c r="K354" s="5" t="s">
        <v>1061</v>
      </c>
      <c r="L354" s="6" t="s">
        <v>25</v>
      </c>
      <c r="M354" s="13">
        <v>0</v>
      </c>
      <c r="N354" s="13">
        <v>0</v>
      </c>
      <c r="O354" s="13">
        <v>12</v>
      </c>
      <c r="Q354" s="7">
        <f t="shared" si="3"/>
        <v>0</v>
      </c>
      <c r="R354" s="7">
        <f t="shared" si="4"/>
        <v>0</v>
      </c>
      <c r="S354" s="7">
        <f t="shared" si="5"/>
        <v>1</v>
      </c>
    </row>
    <row r="355" spans="1:19" ht="16" x14ac:dyDescent="0.2">
      <c r="A355" s="4">
        <v>92580</v>
      </c>
      <c r="B355" s="5" t="s">
        <v>1062</v>
      </c>
      <c r="C355" s="5" t="s">
        <v>1044</v>
      </c>
      <c r="D355" s="5"/>
      <c r="E355" s="5"/>
      <c r="F355" s="5" t="s">
        <v>27</v>
      </c>
      <c r="G355" s="5" t="s">
        <v>1063</v>
      </c>
      <c r="H355" s="4">
        <v>6</v>
      </c>
      <c r="I355" s="4">
        <v>7</v>
      </c>
      <c r="J355" s="4">
        <v>1990</v>
      </c>
      <c r="K355" s="5" t="s">
        <v>1064</v>
      </c>
      <c r="L355" s="6" t="s">
        <v>25</v>
      </c>
      <c r="M355" s="13">
        <v>12</v>
      </c>
      <c r="N355" s="13">
        <v>49</v>
      </c>
      <c r="O355" s="13">
        <v>0</v>
      </c>
      <c r="Q355" s="7">
        <f t="shared" si="3"/>
        <v>0.19672131147540983</v>
      </c>
      <c r="R355" s="7">
        <f t="shared" si="4"/>
        <v>0.80327868852459017</v>
      </c>
      <c r="S355" s="7">
        <f t="shared" si="5"/>
        <v>0</v>
      </c>
    </row>
    <row r="356" spans="1:19" ht="16" x14ac:dyDescent="0.2">
      <c r="A356" s="4">
        <v>95899</v>
      </c>
      <c r="B356" s="5" t="s">
        <v>1065</v>
      </c>
      <c r="C356" s="5" t="s">
        <v>1044</v>
      </c>
      <c r="D356" s="5"/>
      <c r="E356" s="5"/>
      <c r="F356" s="5" t="s">
        <v>73</v>
      </c>
      <c r="G356" s="4">
        <v>4027</v>
      </c>
      <c r="H356" s="4">
        <v>29</v>
      </c>
      <c r="I356" s="4">
        <v>8</v>
      </c>
      <c r="J356" s="4">
        <v>1990</v>
      </c>
      <c r="K356" s="5" t="s">
        <v>1066</v>
      </c>
      <c r="L356" s="6" t="s">
        <v>25</v>
      </c>
      <c r="M356" s="13">
        <v>0</v>
      </c>
      <c r="N356" s="13">
        <v>0</v>
      </c>
      <c r="O356" s="13">
        <v>10</v>
      </c>
      <c r="Q356" s="7">
        <f t="shared" si="3"/>
        <v>0</v>
      </c>
      <c r="R356" s="7">
        <f t="shared" si="4"/>
        <v>0</v>
      </c>
      <c r="S356" s="7">
        <f t="shared" si="5"/>
        <v>1</v>
      </c>
    </row>
    <row r="357" spans="1:19" ht="16" x14ac:dyDescent="0.2">
      <c r="A357" s="4">
        <v>96089</v>
      </c>
      <c r="B357" s="5" t="s">
        <v>1067</v>
      </c>
      <c r="C357" s="5" t="s">
        <v>1044</v>
      </c>
      <c r="D357" s="5"/>
      <c r="E357" s="5"/>
      <c r="F357" s="5" t="s">
        <v>73</v>
      </c>
      <c r="G357" s="4">
        <v>4029</v>
      </c>
      <c r="H357" s="4">
        <v>29</v>
      </c>
      <c r="I357" s="4">
        <v>8</v>
      </c>
      <c r="J357" s="4">
        <v>1990</v>
      </c>
      <c r="K357" s="5" t="s">
        <v>1068</v>
      </c>
      <c r="L357" s="6" t="s">
        <v>25</v>
      </c>
      <c r="M357" s="13">
        <v>0</v>
      </c>
      <c r="N357" s="13">
        <v>0</v>
      </c>
      <c r="O357" s="13">
        <v>5</v>
      </c>
      <c r="Q357" s="7">
        <f t="shared" si="3"/>
        <v>0</v>
      </c>
      <c r="R357" s="7">
        <f t="shared" si="4"/>
        <v>0</v>
      </c>
      <c r="S357" s="7">
        <f t="shared" si="5"/>
        <v>1</v>
      </c>
    </row>
    <row r="358" spans="1:19" ht="16" x14ac:dyDescent="0.2">
      <c r="A358" s="4">
        <v>97798</v>
      </c>
      <c r="B358" s="5" t="s">
        <v>1069</v>
      </c>
      <c r="C358" s="5" t="s">
        <v>1044</v>
      </c>
      <c r="D358" s="5"/>
      <c r="E358" s="5"/>
      <c r="F358" s="5" t="s">
        <v>73</v>
      </c>
      <c r="G358" s="4">
        <v>4726</v>
      </c>
      <c r="H358" s="4">
        <v>26</v>
      </c>
      <c r="I358" s="4">
        <v>6</v>
      </c>
      <c r="J358" s="4">
        <v>1991</v>
      </c>
      <c r="K358" s="5" t="s">
        <v>1070</v>
      </c>
      <c r="L358" s="6" t="s">
        <v>25</v>
      </c>
      <c r="M358" s="13">
        <v>2</v>
      </c>
      <c r="N358" s="13">
        <v>16</v>
      </c>
      <c r="O358" s="13">
        <v>0</v>
      </c>
      <c r="Q358" s="7">
        <f t="shared" si="3"/>
        <v>0.1111111111111111</v>
      </c>
      <c r="R358" s="7">
        <f t="shared" si="4"/>
        <v>0.88888888888888884</v>
      </c>
      <c r="S358" s="7">
        <f t="shared" si="5"/>
        <v>0</v>
      </c>
    </row>
    <row r="359" spans="1:19" ht="16" x14ac:dyDescent="0.2">
      <c r="A359" s="4">
        <v>122219</v>
      </c>
      <c r="B359" s="5" t="s">
        <v>1071</v>
      </c>
      <c r="C359" s="5" t="s">
        <v>1044</v>
      </c>
      <c r="D359" s="5"/>
      <c r="E359" s="5"/>
      <c r="F359" s="5" t="s">
        <v>125</v>
      </c>
      <c r="G359" s="5" t="s">
        <v>1072</v>
      </c>
      <c r="H359" s="4">
        <v>25</v>
      </c>
      <c r="I359" s="4">
        <v>8</v>
      </c>
      <c r="J359" s="4">
        <v>1994</v>
      </c>
      <c r="K359" s="5" t="s">
        <v>1073</v>
      </c>
      <c r="L359" s="6" t="s">
        <v>25</v>
      </c>
      <c r="M359" s="13">
        <v>0</v>
      </c>
      <c r="N359" s="13">
        <v>4</v>
      </c>
      <c r="O359" s="13">
        <v>23</v>
      </c>
      <c r="Q359" s="7">
        <f t="shared" si="3"/>
        <v>0</v>
      </c>
      <c r="R359" s="7">
        <f t="shared" si="4"/>
        <v>0.14814814814814814</v>
      </c>
      <c r="S359" s="7">
        <f t="shared" si="5"/>
        <v>0.85185185185185186</v>
      </c>
    </row>
    <row r="360" spans="1:19" ht="16" x14ac:dyDescent="0.2">
      <c r="A360" s="4">
        <v>142087</v>
      </c>
      <c r="B360" s="5" t="s">
        <v>1074</v>
      </c>
      <c r="C360" s="5" t="s">
        <v>1044</v>
      </c>
      <c r="D360" s="5"/>
      <c r="E360" s="5"/>
      <c r="F360" s="5" t="s">
        <v>473</v>
      </c>
      <c r="G360" s="5" t="s">
        <v>167</v>
      </c>
      <c r="H360" s="4">
        <v>6</v>
      </c>
      <c r="I360" s="4">
        <v>7</v>
      </c>
      <c r="J360" s="4">
        <v>1998</v>
      </c>
      <c r="K360" s="5" t="s">
        <v>1075</v>
      </c>
      <c r="L360" s="6" t="s">
        <v>25</v>
      </c>
      <c r="M360" s="13">
        <v>0</v>
      </c>
      <c r="N360" s="13">
        <v>0</v>
      </c>
      <c r="O360" s="13">
        <v>0</v>
      </c>
      <c r="Q360" s="7" t="e">
        <f t="shared" si="3"/>
        <v>#DIV/0!</v>
      </c>
      <c r="R360" s="7" t="e">
        <f t="shared" si="4"/>
        <v>#DIV/0!</v>
      </c>
      <c r="S360" s="7" t="e">
        <f t="shared" si="5"/>
        <v>#DIV/0!</v>
      </c>
    </row>
    <row r="361" spans="1:19" ht="16" x14ac:dyDescent="0.2">
      <c r="A361" s="4">
        <v>143959</v>
      </c>
      <c r="B361" s="5" t="s">
        <v>1076</v>
      </c>
      <c r="C361" s="5" t="s">
        <v>1044</v>
      </c>
      <c r="D361" s="5"/>
      <c r="E361" s="5"/>
      <c r="F361" s="5" t="s">
        <v>704</v>
      </c>
      <c r="G361" s="5" t="s">
        <v>167</v>
      </c>
      <c r="H361" s="4">
        <v>28</v>
      </c>
      <c r="I361" s="4">
        <v>6</v>
      </c>
      <c r="J361" s="4">
        <v>1999</v>
      </c>
      <c r="K361" s="5" t="s">
        <v>1077</v>
      </c>
      <c r="L361" s="6" t="s">
        <v>25</v>
      </c>
      <c r="M361" s="13">
        <v>69</v>
      </c>
      <c r="N361" s="13">
        <v>13</v>
      </c>
      <c r="O361" s="13">
        <v>0</v>
      </c>
      <c r="Q361" s="7">
        <f t="shared" si="3"/>
        <v>0.84146341463414631</v>
      </c>
      <c r="R361" s="7">
        <f t="shared" si="4"/>
        <v>0.15853658536585366</v>
      </c>
      <c r="S361" s="7">
        <f t="shared" si="5"/>
        <v>0</v>
      </c>
    </row>
    <row r="362" spans="1:19" ht="16" x14ac:dyDescent="0.2">
      <c r="A362" s="4">
        <v>152462</v>
      </c>
      <c r="B362" s="5" t="s">
        <v>1078</v>
      </c>
      <c r="C362" s="5" t="s">
        <v>1044</v>
      </c>
      <c r="D362" s="5"/>
      <c r="E362" s="5"/>
      <c r="F362" s="5" t="s">
        <v>31</v>
      </c>
      <c r="G362" s="5" t="s">
        <v>1079</v>
      </c>
      <c r="H362" s="4">
        <v>26</v>
      </c>
      <c r="I362" s="4">
        <v>6</v>
      </c>
      <c r="J362" s="4">
        <v>2001</v>
      </c>
      <c r="K362" s="5" t="s">
        <v>1080</v>
      </c>
      <c r="L362" s="6" t="s">
        <v>25</v>
      </c>
      <c r="M362" s="13">
        <v>0</v>
      </c>
      <c r="N362" s="13">
        <v>0</v>
      </c>
      <c r="O362" s="13">
        <v>0</v>
      </c>
      <c r="Q362" s="7" t="e">
        <f t="shared" si="3"/>
        <v>#DIV/0!</v>
      </c>
      <c r="R362" s="7" t="e">
        <f t="shared" si="4"/>
        <v>#DIV/0!</v>
      </c>
      <c r="S362" s="7" t="e">
        <f t="shared" si="5"/>
        <v>#DIV/0!</v>
      </c>
    </row>
    <row r="363" spans="1:19" ht="16" x14ac:dyDescent="0.2">
      <c r="A363" s="4">
        <v>155783</v>
      </c>
      <c r="B363" s="5" t="s">
        <v>1081</v>
      </c>
      <c r="C363" s="5" t="s">
        <v>1044</v>
      </c>
      <c r="D363" s="5"/>
      <c r="E363" s="5"/>
      <c r="F363" s="5" t="s">
        <v>99</v>
      </c>
      <c r="G363" s="4">
        <v>8</v>
      </c>
      <c r="H363" s="4">
        <v>11</v>
      </c>
      <c r="I363" s="4">
        <v>7</v>
      </c>
      <c r="J363" s="4">
        <v>2003</v>
      </c>
      <c r="K363" s="5" t="s">
        <v>1082</v>
      </c>
      <c r="L363" s="6" t="s">
        <v>25</v>
      </c>
      <c r="M363" s="13">
        <v>7</v>
      </c>
      <c r="N363" s="13">
        <v>37</v>
      </c>
      <c r="O363" s="13">
        <v>0</v>
      </c>
      <c r="Q363" s="7">
        <f t="shared" si="3"/>
        <v>0.15909090909090909</v>
      </c>
      <c r="R363" s="7">
        <f t="shared" si="4"/>
        <v>0.84090909090909094</v>
      </c>
      <c r="S363" s="7">
        <f t="shared" si="5"/>
        <v>0</v>
      </c>
    </row>
    <row r="364" spans="1:19" ht="16" x14ac:dyDescent="0.2">
      <c r="A364" s="4">
        <v>172539</v>
      </c>
      <c r="B364" s="5" t="s">
        <v>1083</v>
      </c>
      <c r="C364" s="5" t="s">
        <v>1044</v>
      </c>
      <c r="D364" s="5"/>
      <c r="E364" s="5"/>
      <c r="F364" s="5" t="s">
        <v>495</v>
      </c>
      <c r="G364" s="5" t="s">
        <v>1084</v>
      </c>
      <c r="H364" s="4">
        <v>1</v>
      </c>
      <c r="I364" s="4">
        <v>11</v>
      </c>
      <c r="J364" s="4">
        <v>2011</v>
      </c>
      <c r="K364" s="5" t="s">
        <v>1085</v>
      </c>
      <c r="L364" s="6" t="s">
        <v>25</v>
      </c>
      <c r="M364" s="13">
        <v>0</v>
      </c>
      <c r="N364" s="13">
        <v>0</v>
      </c>
      <c r="O364" s="13">
        <v>0</v>
      </c>
      <c r="Q364" s="7" t="e">
        <f t="shared" si="3"/>
        <v>#DIV/0!</v>
      </c>
      <c r="R364" s="7" t="e">
        <f t="shared" si="4"/>
        <v>#DIV/0!</v>
      </c>
      <c r="S364" s="7" t="e">
        <f t="shared" si="5"/>
        <v>#DIV/0!</v>
      </c>
    </row>
    <row r="365" spans="1:19" ht="16" x14ac:dyDescent="0.2">
      <c r="A365" s="4">
        <v>177469</v>
      </c>
      <c r="B365" s="5" t="s">
        <v>1086</v>
      </c>
      <c r="C365" s="5" t="s">
        <v>1044</v>
      </c>
      <c r="D365" s="5"/>
      <c r="E365" s="5"/>
      <c r="F365" s="5" t="s">
        <v>113</v>
      </c>
      <c r="G365" s="5" t="s">
        <v>1087</v>
      </c>
      <c r="H365" s="4">
        <v>16</v>
      </c>
      <c r="I365" s="4">
        <v>7</v>
      </c>
      <c r="J365" s="4">
        <v>2013</v>
      </c>
      <c r="K365" s="5" t="s">
        <v>1088</v>
      </c>
      <c r="L365" s="6" t="s">
        <v>25</v>
      </c>
      <c r="M365" s="13">
        <v>0</v>
      </c>
      <c r="N365" s="13">
        <v>0</v>
      </c>
      <c r="O365" s="13">
        <v>15</v>
      </c>
      <c r="Q365" s="7">
        <f t="shared" si="3"/>
        <v>0</v>
      </c>
      <c r="R365" s="7">
        <f t="shared" si="4"/>
        <v>0</v>
      </c>
      <c r="S365" s="7">
        <f t="shared" si="5"/>
        <v>1</v>
      </c>
    </row>
    <row r="366" spans="1:19" ht="16" x14ac:dyDescent="0.2">
      <c r="A366" s="4">
        <v>187838</v>
      </c>
      <c r="B366" s="5" t="s">
        <v>1089</v>
      </c>
      <c r="C366" s="5" t="s">
        <v>1044</v>
      </c>
      <c r="D366" s="5"/>
      <c r="E366" s="5"/>
      <c r="F366" s="5" t="s">
        <v>47</v>
      </c>
      <c r="G366" s="5" t="s">
        <v>1090</v>
      </c>
      <c r="H366" s="4">
        <v>16</v>
      </c>
      <c r="I366" s="4">
        <v>8</v>
      </c>
      <c r="J366" s="4">
        <v>2018</v>
      </c>
      <c r="K366" s="5" t="s">
        <v>1091</v>
      </c>
      <c r="L366" s="6" t="s">
        <v>25</v>
      </c>
      <c r="M366" s="13">
        <v>0</v>
      </c>
      <c r="N366" s="13">
        <v>0</v>
      </c>
      <c r="O366" s="13">
        <v>0</v>
      </c>
      <c r="Q366" s="7" t="e">
        <f t="shared" si="3"/>
        <v>#DIV/0!</v>
      </c>
      <c r="R366" s="7" t="e">
        <f t="shared" si="4"/>
        <v>#DIV/0!</v>
      </c>
      <c r="S366" s="7" t="e">
        <f t="shared" si="5"/>
        <v>#DIV/0!</v>
      </c>
    </row>
    <row r="367" spans="1:19" ht="17.25" customHeight="1" x14ac:dyDescent="0.2">
      <c r="A367" s="4">
        <v>188237</v>
      </c>
      <c r="B367" s="5" t="s">
        <v>1092</v>
      </c>
      <c r="C367" s="5" t="s">
        <v>1044</v>
      </c>
      <c r="D367" s="5"/>
      <c r="E367" s="5"/>
      <c r="F367" s="5" t="s">
        <v>538</v>
      </c>
      <c r="G367" s="5" t="s">
        <v>1093</v>
      </c>
      <c r="H367" s="4">
        <v>10</v>
      </c>
      <c r="I367" s="4">
        <v>7</v>
      </c>
      <c r="J367" s="4">
        <v>2019</v>
      </c>
      <c r="K367" s="5" t="s">
        <v>1094</v>
      </c>
      <c r="L367" s="6" t="s">
        <v>25</v>
      </c>
      <c r="M367" s="13">
        <v>21</v>
      </c>
      <c r="N367" s="13">
        <v>81</v>
      </c>
      <c r="O367" s="13">
        <v>2</v>
      </c>
      <c r="Q367" s="7">
        <f t="shared" si="3"/>
        <v>0.20192307692307693</v>
      </c>
      <c r="R367" s="7">
        <f t="shared" si="4"/>
        <v>0.77884615384615385</v>
      </c>
      <c r="S367" s="7">
        <f t="shared" si="5"/>
        <v>1.9230769230769232E-2</v>
      </c>
    </row>
    <row r="368" spans="1:19" ht="16" x14ac:dyDescent="0.2">
      <c r="A368" s="4">
        <v>98505</v>
      </c>
      <c r="B368" s="5" t="s">
        <v>1095</v>
      </c>
      <c r="C368" s="5" t="s">
        <v>1096</v>
      </c>
      <c r="D368" s="5"/>
      <c r="E368" s="5"/>
      <c r="F368" s="5" t="s">
        <v>31</v>
      </c>
      <c r="G368" s="5" t="s">
        <v>1097</v>
      </c>
      <c r="H368" s="4">
        <v>6</v>
      </c>
      <c r="I368" s="4">
        <v>8</v>
      </c>
      <c r="J368" s="4">
        <v>1991</v>
      </c>
      <c r="K368" s="5" t="s">
        <v>1098</v>
      </c>
      <c r="L368" s="6" t="s">
        <v>25</v>
      </c>
      <c r="M368" s="13">
        <v>0</v>
      </c>
      <c r="N368" s="13">
        <v>0</v>
      </c>
      <c r="O368" s="13">
        <v>16</v>
      </c>
      <c r="Q368" s="7">
        <f t="shared" si="3"/>
        <v>0</v>
      </c>
      <c r="R368" s="7">
        <f t="shared" si="4"/>
        <v>0</v>
      </c>
      <c r="S368" s="7">
        <f t="shared" si="5"/>
        <v>1</v>
      </c>
    </row>
    <row r="369" spans="1:19" ht="16" x14ac:dyDescent="0.2">
      <c r="A369" s="4">
        <v>120844</v>
      </c>
      <c r="B369" s="5" t="s">
        <v>1099</v>
      </c>
      <c r="C369" s="5" t="s">
        <v>1096</v>
      </c>
      <c r="D369" s="5"/>
      <c r="E369" s="5"/>
      <c r="F369" s="5" t="s">
        <v>31</v>
      </c>
      <c r="G369" s="5" t="s">
        <v>1100</v>
      </c>
      <c r="H369" s="4">
        <v>16</v>
      </c>
      <c r="I369" s="4">
        <v>8</v>
      </c>
      <c r="J369" s="4">
        <v>1994</v>
      </c>
      <c r="K369" s="5" t="s">
        <v>1101</v>
      </c>
      <c r="L369" s="6" t="s">
        <v>25</v>
      </c>
      <c r="M369" s="13">
        <v>0</v>
      </c>
      <c r="N369" s="13">
        <v>0</v>
      </c>
      <c r="O369" s="13">
        <v>21</v>
      </c>
      <c r="Q369" s="7">
        <f t="shared" si="3"/>
        <v>0</v>
      </c>
      <c r="R369" s="7">
        <f t="shared" si="4"/>
        <v>0</v>
      </c>
      <c r="S369" s="7">
        <f t="shared" si="5"/>
        <v>1</v>
      </c>
    </row>
    <row r="370" spans="1:19" ht="16" x14ac:dyDescent="0.2">
      <c r="A370" s="4">
        <v>122247</v>
      </c>
      <c r="B370" s="5" t="s">
        <v>1102</v>
      </c>
      <c r="C370" s="5" t="s">
        <v>1096</v>
      </c>
      <c r="D370" s="5"/>
      <c r="E370" s="5"/>
      <c r="F370" s="5" t="s">
        <v>119</v>
      </c>
      <c r="G370" s="5" t="s">
        <v>1103</v>
      </c>
      <c r="H370" s="4">
        <v>30</v>
      </c>
      <c r="I370" s="4">
        <v>8</v>
      </c>
      <c r="J370" s="4">
        <v>1994</v>
      </c>
      <c r="K370" s="5" t="s">
        <v>1098</v>
      </c>
      <c r="L370" s="6" t="s">
        <v>25</v>
      </c>
      <c r="M370" s="13">
        <v>0</v>
      </c>
      <c r="N370" s="13">
        <v>0</v>
      </c>
      <c r="O370" s="13">
        <v>3</v>
      </c>
      <c r="Q370" s="7">
        <f t="shared" si="3"/>
        <v>0</v>
      </c>
      <c r="R370" s="7">
        <f t="shared" si="4"/>
        <v>0</v>
      </c>
      <c r="S370" s="7">
        <f t="shared" si="5"/>
        <v>1</v>
      </c>
    </row>
    <row r="371" spans="1:19" ht="16" x14ac:dyDescent="0.2">
      <c r="A371" s="4">
        <v>177016</v>
      </c>
      <c r="B371" s="5" t="s">
        <v>1104</v>
      </c>
      <c r="C371" s="5" t="s">
        <v>1096</v>
      </c>
      <c r="D371" s="5"/>
      <c r="E371" s="5"/>
      <c r="F371" s="5" t="s">
        <v>159</v>
      </c>
      <c r="G371" s="5" t="s">
        <v>1105</v>
      </c>
      <c r="H371" s="4">
        <v>8</v>
      </c>
      <c r="I371" s="4">
        <v>8</v>
      </c>
      <c r="J371" s="4">
        <v>2013</v>
      </c>
      <c r="K371" s="5" t="s">
        <v>1106</v>
      </c>
      <c r="L371" s="6" t="s">
        <v>25</v>
      </c>
      <c r="M371" s="13">
        <v>0</v>
      </c>
      <c r="N371" s="13">
        <v>0</v>
      </c>
      <c r="O371" s="13">
        <v>28</v>
      </c>
      <c r="Q371" s="7">
        <f t="shared" si="3"/>
        <v>0</v>
      </c>
      <c r="R371" s="7">
        <f t="shared" si="4"/>
        <v>0</v>
      </c>
      <c r="S371" s="7">
        <f t="shared" si="5"/>
        <v>1</v>
      </c>
    </row>
    <row r="372" spans="1:19" ht="16" x14ac:dyDescent="0.2">
      <c r="A372" s="4">
        <v>36824</v>
      </c>
      <c r="B372" s="5" t="s">
        <v>1107</v>
      </c>
      <c r="C372" s="5" t="s">
        <v>1108</v>
      </c>
      <c r="D372" s="5"/>
      <c r="E372" s="5"/>
      <c r="F372" s="5" t="s">
        <v>119</v>
      </c>
      <c r="G372" s="4">
        <v>4444</v>
      </c>
      <c r="H372" s="4">
        <v>6</v>
      </c>
      <c r="I372" s="4">
        <v>10</v>
      </c>
      <c r="J372" s="4">
        <v>1978</v>
      </c>
      <c r="K372" s="5" t="s">
        <v>1109</v>
      </c>
      <c r="L372" s="6" t="s">
        <v>25</v>
      </c>
      <c r="M372" s="13">
        <v>0</v>
      </c>
      <c r="N372" s="13">
        <v>0</v>
      </c>
      <c r="O372" s="13">
        <v>30</v>
      </c>
      <c r="Q372" s="7">
        <f t="shared" si="3"/>
        <v>0</v>
      </c>
      <c r="R372" s="7">
        <f t="shared" si="4"/>
        <v>0</v>
      </c>
      <c r="S372" s="7">
        <f t="shared" si="5"/>
        <v>1</v>
      </c>
    </row>
    <row r="373" spans="1:19" ht="14" x14ac:dyDescent="0.2">
      <c r="D373" s="5"/>
      <c r="E373" s="5"/>
      <c r="L373" s="5"/>
      <c r="Q373" s="7"/>
      <c r="R373" s="7"/>
      <c r="S373" s="7"/>
    </row>
    <row r="374" spans="1:19" ht="14" x14ac:dyDescent="0.2">
      <c r="D374" s="5"/>
      <c r="E374" s="5"/>
      <c r="L374" s="5"/>
      <c r="Q374" s="7"/>
      <c r="R374" s="7"/>
      <c r="S374" s="7"/>
    </row>
    <row r="375" spans="1:19" ht="14" x14ac:dyDescent="0.2">
      <c r="D375" s="5"/>
      <c r="E375" s="5"/>
      <c r="L375" s="5"/>
      <c r="Q375" s="7"/>
      <c r="R375" s="7"/>
      <c r="S375" s="7"/>
    </row>
    <row r="376" spans="1:19" ht="14" x14ac:dyDescent="0.2">
      <c r="D376" s="5"/>
      <c r="E376" s="5"/>
      <c r="L376" s="5"/>
      <c r="Q376" s="7"/>
      <c r="R376" s="7"/>
      <c r="S376" s="7"/>
    </row>
    <row r="377" spans="1:19" ht="14" x14ac:dyDescent="0.2">
      <c r="D377" s="5"/>
      <c r="E377" s="5"/>
      <c r="L377" s="5"/>
      <c r="Q377" s="7"/>
      <c r="R377" s="7"/>
      <c r="S377" s="7"/>
    </row>
    <row r="378" spans="1:19" ht="14" x14ac:dyDescent="0.2">
      <c r="D378" s="5"/>
      <c r="E378" s="5"/>
      <c r="L378" s="5"/>
      <c r="Q378" s="7"/>
      <c r="R378" s="7"/>
      <c r="S378" s="7"/>
    </row>
    <row r="379" spans="1:19" ht="14" x14ac:dyDescent="0.2">
      <c r="D379" s="5"/>
      <c r="E379" s="5"/>
      <c r="L379" s="5"/>
      <c r="Q379" s="7"/>
      <c r="R379" s="7"/>
      <c r="S379" s="7"/>
    </row>
    <row r="380" spans="1:19" ht="14" x14ac:dyDescent="0.2">
      <c r="D380" s="5"/>
      <c r="E380" s="5"/>
      <c r="L380" s="5"/>
      <c r="Q380" s="7"/>
      <c r="R380" s="7"/>
      <c r="S380" s="7"/>
    </row>
    <row r="381" spans="1:19" ht="14" x14ac:dyDescent="0.2">
      <c r="D381" s="5"/>
      <c r="E381" s="5"/>
      <c r="L381" s="5"/>
      <c r="Q381" s="7"/>
      <c r="R381" s="7"/>
      <c r="S381" s="7"/>
    </row>
    <row r="382" spans="1:19" ht="14" x14ac:dyDescent="0.2">
      <c r="D382" s="5"/>
      <c r="E382" s="5"/>
      <c r="L382" s="5"/>
      <c r="Q382" s="7"/>
      <c r="R382" s="7"/>
      <c r="S382" s="7"/>
    </row>
    <row r="383" spans="1:19" ht="14" x14ac:dyDescent="0.2">
      <c r="D383" s="5"/>
      <c r="E383" s="5"/>
      <c r="L383" s="5"/>
      <c r="Q383" s="7"/>
      <c r="R383" s="7"/>
      <c r="S383" s="7"/>
    </row>
    <row r="384" spans="1:19" ht="14" x14ac:dyDescent="0.2">
      <c r="D384" s="5"/>
      <c r="E384" s="5"/>
      <c r="L384" s="5"/>
      <c r="Q384" s="7"/>
      <c r="R384" s="7"/>
      <c r="S384" s="7"/>
    </row>
    <row r="385" spans="4:19" ht="14" x14ac:dyDescent="0.2">
      <c r="D385" s="5"/>
      <c r="E385" s="5"/>
      <c r="L385" s="5"/>
      <c r="Q385" s="7"/>
      <c r="R385" s="7"/>
      <c r="S385" s="7"/>
    </row>
    <row r="386" spans="4:19" ht="14" x14ac:dyDescent="0.2">
      <c r="D386" s="5"/>
      <c r="E386" s="5"/>
      <c r="L386" s="5"/>
      <c r="Q386" s="7"/>
      <c r="R386" s="7"/>
      <c r="S386" s="7"/>
    </row>
    <row r="387" spans="4:19" ht="14" x14ac:dyDescent="0.2">
      <c r="D387" s="5"/>
      <c r="E387" s="5"/>
      <c r="L387" s="5"/>
      <c r="Q387" s="7"/>
      <c r="R387" s="7"/>
      <c r="S387" s="7"/>
    </row>
    <row r="388" spans="4:19" ht="14" x14ac:dyDescent="0.2">
      <c r="D388" s="5"/>
      <c r="E388" s="5"/>
      <c r="L388" s="5"/>
      <c r="Q388" s="7"/>
      <c r="R388" s="7"/>
      <c r="S388" s="7"/>
    </row>
    <row r="389" spans="4:19" ht="14" x14ac:dyDescent="0.2">
      <c r="D389" s="5"/>
      <c r="E389" s="5"/>
      <c r="L389" s="5"/>
      <c r="Q389" s="7"/>
      <c r="R389" s="7"/>
      <c r="S389" s="7"/>
    </row>
    <row r="390" spans="4:19" ht="14" x14ac:dyDescent="0.2">
      <c r="D390" s="5"/>
      <c r="E390" s="5"/>
      <c r="L390" s="5"/>
      <c r="Q390" s="7"/>
      <c r="R390" s="7"/>
      <c r="S390" s="7"/>
    </row>
    <row r="391" spans="4:19" ht="14" x14ac:dyDescent="0.2">
      <c r="D391" s="5"/>
      <c r="E391" s="5"/>
      <c r="L391" s="5"/>
      <c r="Q391" s="7"/>
      <c r="R391" s="7"/>
      <c r="S391" s="7"/>
    </row>
    <row r="392" spans="4:19" ht="14" x14ac:dyDescent="0.2">
      <c r="D392" s="5"/>
      <c r="E392" s="5"/>
      <c r="L392" s="5"/>
      <c r="Q392" s="7"/>
      <c r="R392" s="7"/>
      <c r="S392" s="7"/>
    </row>
    <row r="393" spans="4:19" ht="14" x14ac:dyDescent="0.2">
      <c r="D393" s="5"/>
      <c r="E393" s="5"/>
      <c r="L393" s="5"/>
      <c r="Q393" s="7"/>
      <c r="R393" s="7"/>
      <c r="S393" s="7"/>
    </row>
    <row r="394" spans="4:19" ht="14" x14ac:dyDescent="0.2">
      <c r="D394" s="5"/>
      <c r="E394" s="5"/>
      <c r="L394" s="5"/>
      <c r="Q394" s="7"/>
      <c r="R394" s="7"/>
      <c r="S394" s="7"/>
    </row>
    <row r="395" spans="4:19" ht="14" x14ac:dyDescent="0.2">
      <c r="D395" s="5"/>
      <c r="E395" s="5"/>
      <c r="L395" s="5"/>
      <c r="Q395" s="7"/>
      <c r="R395" s="7"/>
      <c r="S395" s="7"/>
    </row>
    <row r="396" spans="4:19" ht="14" x14ac:dyDescent="0.2">
      <c r="D396" s="5"/>
      <c r="E396" s="5"/>
      <c r="L396" s="5"/>
      <c r="Q396" s="7"/>
      <c r="R396" s="7"/>
      <c r="S396" s="7"/>
    </row>
    <row r="397" spans="4:19" ht="14" x14ac:dyDescent="0.2">
      <c r="D397" s="5"/>
      <c r="E397" s="5"/>
      <c r="L397" s="5"/>
      <c r="Q397" s="7"/>
      <c r="R397" s="7"/>
      <c r="S397" s="7"/>
    </row>
    <row r="398" spans="4:19" ht="14" x14ac:dyDescent="0.2">
      <c r="D398" s="5"/>
      <c r="E398" s="5"/>
      <c r="L398" s="5"/>
      <c r="Q398" s="7"/>
      <c r="R398" s="7"/>
      <c r="S398" s="7"/>
    </row>
    <row r="399" spans="4:19" ht="14" x14ac:dyDescent="0.2">
      <c r="D399" s="5"/>
      <c r="E399" s="5"/>
      <c r="L399" s="5"/>
      <c r="Q399" s="7"/>
      <c r="R399" s="7"/>
      <c r="S399" s="7"/>
    </row>
    <row r="400" spans="4:19" ht="14" x14ac:dyDescent="0.2">
      <c r="D400" s="5"/>
      <c r="E400" s="5"/>
      <c r="L400" s="5"/>
      <c r="Q400" s="7"/>
      <c r="R400" s="7"/>
      <c r="S400" s="7"/>
    </row>
    <row r="401" spans="4:19" ht="14" x14ac:dyDescent="0.2">
      <c r="D401" s="5"/>
      <c r="E401" s="5"/>
      <c r="L401" s="5"/>
      <c r="Q401" s="7"/>
      <c r="R401" s="7"/>
      <c r="S401" s="7"/>
    </row>
    <row r="402" spans="4:19" ht="14" x14ac:dyDescent="0.2">
      <c r="D402" s="5"/>
      <c r="E402" s="5"/>
      <c r="L402" s="5"/>
      <c r="Q402" s="7"/>
      <c r="R402" s="7"/>
      <c r="S402" s="7"/>
    </row>
    <row r="403" spans="4:19" ht="14" x14ac:dyDescent="0.2">
      <c r="D403" s="5"/>
      <c r="E403" s="5"/>
      <c r="L403" s="5"/>
      <c r="Q403" s="7"/>
      <c r="R403" s="7"/>
      <c r="S403" s="7"/>
    </row>
    <row r="404" spans="4:19" ht="14" x14ac:dyDescent="0.2">
      <c r="D404" s="5"/>
      <c r="E404" s="5"/>
      <c r="L404" s="5"/>
      <c r="Q404" s="7"/>
      <c r="R404" s="7"/>
      <c r="S404" s="7"/>
    </row>
    <row r="405" spans="4:19" ht="14" x14ac:dyDescent="0.2">
      <c r="D405" s="5"/>
      <c r="E405" s="5"/>
      <c r="L405" s="5"/>
      <c r="Q405" s="7"/>
      <c r="R405" s="7"/>
      <c r="S405" s="7"/>
    </row>
    <row r="406" spans="4:19" ht="14" x14ac:dyDescent="0.2">
      <c r="D406" s="5"/>
      <c r="E406" s="5"/>
      <c r="L406" s="5"/>
      <c r="Q406" s="7"/>
      <c r="R406" s="7"/>
      <c r="S406" s="7"/>
    </row>
    <row r="407" spans="4:19" ht="14" x14ac:dyDescent="0.2">
      <c r="D407" s="5"/>
      <c r="E407" s="5"/>
      <c r="L407" s="5"/>
      <c r="Q407" s="7"/>
      <c r="R407" s="7"/>
      <c r="S407" s="7"/>
    </row>
    <row r="408" spans="4:19" ht="14" x14ac:dyDescent="0.2">
      <c r="D408" s="5"/>
      <c r="E408" s="5"/>
      <c r="L408" s="5"/>
      <c r="Q408" s="7"/>
      <c r="R408" s="7"/>
      <c r="S408" s="7"/>
    </row>
    <row r="409" spans="4:19" ht="14" x14ac:dyDescent="0.2">
      <c r="D409" s="5"/>
      <c r="E409" s="5"/>
      <c r="L409" s="5"/>
      <c r="Q409" s="7"/>
      <c r="R409" s="7"/>
      <c r="S409" s="7"/>
    </row>
    <row r="410" spans="4:19" ht="14" x14ac:dyDescent="0.2">
      <c r="D410" s="5"/>
      <c r="E410" s="5"/>
      <c r="L410" s="5"/>
      <c r="Q410" s="7"/>
      <c r="R410" s="7"/>
      <c r="S410" s="7"/>
    </row>
    <row r="411" spans="4:19" ht="14" x14ac:dyDescent="0.2">
      <c r="D411" s="5"/>
      <c r="E411" s="5"/>
      <c r="L411" s="5"/>
      <c r="Q411" s="7"/>
      <c r="R411" s="7"/>
      <c r="S411" s="7"/>
    </row>
    <row r="412" spans="4:19" ht="14" x14ac:dyDescent="0.2">
      <c r="D412" s="5"/>
      <c r="E412" s="5"/>
      <c r="L412" s="5"/>
      <c r="Q412" s="7"/>
      <c r="R412" s="7"/>
      <c r="S412" s="7"/>
    </row>
    <row r="413" spans="4:19" ht="14" x14ac:dyDescent="0.2">
      <c r="D413" s="5"/>
      <c r="E413" s="5"/>
      <c r="L413" s="5"/>
      <c r="Q413" s="7"/>
      <c r="R413" s="7"/>
      <c r="S413" s="7"/>
    </row>
    <row r="414" spans="4:19" ht="14" x14ac:dyDescent="0.2">
      <c r="D414" s="5"/>
      <c r="E414" s="5"/>
      <c r="L414" s="5"/>
      <c r="Q414" s="7"/>
      <c r="R414" s="7"/>
      <c r="S414" s="7"/>
    </row>
    <row r="415" spans="4:19" ht="14" x14ac:dyDescent="0.2">
      <c r="D415" s="5"/>
      <c r="E415" s="5"/>
      <c r="L415" s="5"/>
      <c r="Q415" s="7"/>
      <c r="R415" s="7"/>
      <c r="S415" s="7"/>
    </row>
    <row r="416" spans="4:19" ht="14" x14ac:dyDescent="0.2">
      <c r="D416" s="5"/>
      <c r="E416" s="5"/>
      <c r="L416" s="5"/>
      <c r="Q416" s="7"/>
      <c r="R416" s="7"/>
      <c r="S416" s="7"/>
    </row>
    <row r="417" spans="4:19" ht="14" x14ac:dyDescent="0.2">
      <c r="D417" s="5"/>
      <c r="E417" s="5"/>
      <c r="L417" s="5"/>
      <c r="Q417" s="7"/>
      <c r="R417" s="7"/>
      <c r="S417" s="7"/>
    </row>
    <row r="418" spans="4:19" ht="14" x14ac:dyDescent="0.2">
      <c r="D418" s="5"/>
      <c r="E418" s="5"/>
      <c r="L418" s="5"/>
      <c r="Q418" s="7"/>
      <c r="R418" s="7"/>
      <c r="S418" s="7"/>
    </row>
    <row r="419" spans="4:19" ht="14" x14ac:dyDescent="0.2">
      <c r="D419" s="5"/>
      <c r="E419" s="5"/>
      <c r="L419" s="5"/>
      <c r="Q419" s="7"/>
      <c r="R419" s="7"/>
      <c r="S419" s="7"/>
    </row>
    <row r="420" spans="4:19" ht="14" x14ac:dyDescent="0.2">
      <c r="D420" s="5"/>
      <c r="E420" s="5"/>
      <c r="L420" s="5"/>
      <c r="Q420" s="7"/>
      <c r="R420" s="7"/>
      <c r="S420" s="7"/>
    </row>
    <row r="421" spans="4:19" ht="14" x14ac:dyDescent="0.2">
      <c r="D421" s="5"/>
      <c r="E421" s="5"/>
      <c r="L421" s="5"/>
      <c r="Q421" s="7"/>
      <c r="R421" s="7"/>
      <c r="S421" s="7"/>
    </row>
    <row r="422" spans="4:19" ht="14" x14ac:dyDescent="0.2">
      <c r="D422" s="5"/>
      <c r="E422" s="5"/>
      <c r="L422" s="5"/>
      <c r="Q422" s="7"/>
      <c r="R422" s="7"/>
      <c r="S422" s="7"/>
    </row>
    <row r="423" spans="4:19" ht="14" x14ac:dyDescent="0.2">
      <c r="D423" s="5"/>
      <c r="E423" s="5"/>
      <c r="L423" s="5"/>
      <c r="Q423" s="7"/>
      <c r="R423" s="7"/>
      <c r="S423" s="7"/>
    </row>
    <row r="424" spans="4:19" ht="14" x14ac:dyDescent="0.2">
      <c r="D424" s="5"/>
      <c r="E424" s="5"/>
      <c r="L424" s="5"/>
      <c r="Q424" s="7"/>
      <c r="R424" s="7"/>
      <c r="S424" s="7"/>
    </row>
    <row r="425" spans="4:19" ht="14" x14ac:dyDescent="0.2">
      <c r="D425" s="5"/>
      <c r="E425" s="5"/>
      <c r="L425" s="5"/>
      <c r="Q425" s="7"/>
      <c r="R425" s="7"/>
      <c r="S425" s="7"/>
    </row>
    <row r="426" spans="4:19" ht="14" x14ac:dyDescent="0.2">
      <c r="D426" s="5"/>
      <c r="E426" s="5"/>
      <c r="L426" s="5"/>
      <c r="Q426" s="7"/>
      <c r="R426" s="7"/>
      <c r="S426" s="7"/>
    </row>
    <row r="427" spans="4:19" ht="14" x14ac:dyDescent="0.2">
      <c r="D427" s="5"/>
      <c r="E427" s="5"/>
      <c r="L427" s="5"/>
      <c r="Q427" s="7"/>
      <c r="R427" s="7"/>
      <c r="S427" s="7"/>
    </row>
    <row r="428" spans="4:19" ht="14" x14ac:dyDescent="0.2">
      <c r="D428" s="5"/>
      <c r="E428" s="5"/>
      <c r="L428" s="5"/>
      <c r="Q428" s="7"/>
      <c r="R428" s="7"/>
      <c r="S428" s="7"/>
    </row>
    <row r="429" spans="4:19" ht="14" x14ac:dyDescent="0.2">
      <c r="D429" s="5"/>
      <c r="E429" s="5"/>
      <c r="L429" s="5"/>
      <c r="Q429" s="7"/>
      <c r="R429" s="7"/>
      <c r="S429" s="7"/>
    </row>
    <row r="430" spans="4:19" ht="14" x14ac:dyDescent="0.2">
      <c r="D430" s="5"/>
      <c r="E430" s="5"/>
      <c r="L430" s="5"/>
      <c r="Q430" s="7"/>
      <c r="R430" s="7"/>
      <c r="S430" s="7"/>
    </row>
    <row r="431" spans="4:19" ht="14" x14ac:dyDescent="0.2">
      <c r="D431" s="5"/>
      <c r="E431" s="5"/>
      <c r="L431" s="5"/>
      <c r="Q431" s="7"/>
      <c r="R431" s="7"/>
      <c r="S431" s="7"/>
    </row>
    <row r="432" spans="4:19" ht="14" x14ac:dyDescent="0.2">
      <c r="D432" s="5"/>
      <c r="E432" s="5"/>
      <c r="L432" s="5"/>
      <c r="Q432" s="7"/>
      <c r="R432" s="7"/>
      <c r="S432" s="7"/>
    </row>
    <row r="433" spans="4:19" ht="14" x14ac:dyDescent="0.2">
      <c r="D433" s="5"/>
      <c r="E433" s="5"/>
      <c r="L433" s="5"/>
      <c r="Q433" s="7"/>
      <c r="R433" s="7"/>
      <c r="S433" s="7"/>
    </row>
    <row r="434" spans="4:19" ht="14" x14ac:dyDescent="0.2">
      <c r="D434" s="5"/>
      <c r="E434" s="5"/>
      <c r="L434" s="5"/>
      <c r="Q434" s="7"/>
      <c r="R434" s="7"/>
      <c r="S434" s="7"/>
    </row>
    <row r="435" spans="4:19" ht="14" x14ac:dyDescent="0.2">
      <c r="D435" s="5"/>
      <c r="E435" s="5"/>
      <c r="L435" s="5"/>
      <c r="Q435" s="7"/>
      <c r="R435" s="7"/>
      <c r="S435" s="7"/>
    </row>
    <row r="436" spans="4:19" ht="14" x14ac:dyDescent="0.2">
      <c r="D436" s="5"/>
      <c r="E436" s="5"/>
      <c r="L436" s="5"/>
      <c r="Q436" s="7"/>
      <c r="R436" s="7"/>
      <c r="S436" s="7"/>
    </row>
    <row r="437" spans="4:19" ht="14" x14ac:dyDescent="0.2">
      <c r="D437" s="5"/>
      <c r="E437" s="5"/>
      <c r="L437" s="5"/>
      <c r="Q437" s="7"/>
      <c r="R437" s="7"/>
      <c r="S437" s="7"/>
    </row>
    <row r="438" spans="4:19" ht="14" x14ac:dyDescent="0.2">
      <c r="D438" s="5"/>
      <c r="E438" s="5"/>
      <c r="L438" s="5"/>
      <c r="Q438" s="7"/>
      <c r="R438" s="7"/>
      <c r="S438" s="7"/>
    </row>
    <row r="439" spans="4:19" ht="14" x14ac:dyDescent="0.2">
      <c r="D439" s="5"/>
      <c r="E439" s="5"/>
      <c r="L439" s="5"/>
      <c r="Q439" s="7"/>
      <c r="R439" s="7"/>
      <c r="S439" s="7"/>
    </row>
    <row r="440" spans="4:19" ht="14" x14ac:dyDescent="0.2">
      <c r="D440" s="5"/>
      <c r="E440" s="5"/>
      <c r="L440" s="5"/>
      <c r="Q440" s="7"/>
      <c r="R440" s="7"/>
      <c r="S440" s="7"/>
    </row>
    <row r="441" spans="4:19" ht="14" x14ac:dyDescent="0.2">
      <c r="D441" s="5"/>
      <c r="E441" s="5"/>
      <c r="L441" s="5"/>
      <c r="Q441" s="7"/>
      <c r="R441" s="7"/>
      <c r="S441" s="7"/>
    </row>
    <row r="442" spans="4:19" ht="14" x14ac:dyDescent="0.2">
      <c r="D442" s="5"/>
      <c r="E442" s="5"/>
      <c r="L442" s="5"/>
      <c r="Q442" s="7"/>
      <c r="R442" s="7"/>
      <c r="S442" s="7"/>
    </row>
    <row r="443" spans="4:19" ht="14" x14ac:dyDescent="0.2">
      <c r="D443" s="5"/>
      <c r="E443" s="5"/>
      <c r="L443" s="5"/>
      <c r="Q443" s="7"/>
      <c r="R443" s="7"/>
      <c r="S443" s="7"/>
    </row>
    <row r="444" spans="4:19" ht="14" x14ac:dyDescent="0.2">
      <c r="D444" s="5"/>
      <c r="E444" s="5"/>
      <c r="L444" s="5"/>
      <c r="Q444" s="7"/>
      <c r="R444" s="7"/>
      <c r="S444" s="7"/>
    </row>
    <row r="445" spans="4:19" ht="14" x14ac:dyDescent="0.2">
      <c r="D445" s="5"/>
      <c r="E445" s="5"/>
      <c r="L445" s="5"/>
      <c r="Q445" s="7"/>
      <c r="R445" s="7"/>
      <c r="S445" s="7"/>
    </row>
    <row r="446" spans="4:19" ht="14" x14ac:dyDescent="0.2">
      <c r="D446" s="5"/>
      <c r="E446" s="5"/>
      <c r="L446" s="5"/>
      <c r="Q446" s="7"/>
      <c r="R446" s="7"/>
      <c r="S446" s="7"/>
    </row>
    <row r="447" spans="4:19" ht="14" x14ac:dyDescent="0.2">
      <c r="D447" s="5"/>
      <c r="E447" s="5"/>
      <c r="L447" s="5"/>
      <c r="Q447" s="7"/>
      <c r="R447" s="7"/>
      <c r="S447" s="7"/>
    </row>
    <row r="448" spans="4:19" ht="14" x14ac:dyDescent="0.2">
      <c r="D448" s="5"/>
      <c r="E448" s="5"/>
      <c r="L448" s="5"/>
      <c r="Q448" s="7"/>
      <c r="R448" s="7"/>
      <c r="S448" s="7"/>
    </row>
    <row r="449" spans="4:19" ht="14" x14ac:dyDescent="0.2">
      <c r="D449" s="5"/>
      <c r="E449" s="5"/>
      <c r="L449" s="5"/>
      <c r="Q449" s="7"/>
      <c r="R449" s="7"/>
      <c r="S449" s="7"/>
    </row>
    <row r="450" spans="4:19" ht="14" x14ac:dyDescent="0.2">
      <c r="D450" s="5"/>
      <c r="E450" s="5"/>
      <c r="L450" s="5"/>
      <c r="Q450" s="7"/>
      <c r="R450" s="7"/>
      <c r="S450" s="7"/>
    </row>
    <row r="451" spans="4:19" ht="14" x14ac:dyDescent="0.2">
      <c r="D451" s="5"/>
      <c r="E451" s="5"/>
      <c r="L451" s="5"/>
      <c r="Q451" s="7"/>
      <c r="R451" s="7"/>
      <c r="S451" s="7"/>
    </row>
    <row r="452" spans="4:19" ht="14" x14ac:dyDescent="0.2">
      <c r="D452" s="5"/>
      <c r="E452" s="5"/>
      <c r="L452" s="5"/>
      <c r="Q452" s="7"/>
      <c r="R452" s="7"/>
      <c r="S452" s="7"/>
    </row>
    <row r="453" spans="4:19" ht="14" x14ac:dyDescent="0.2">
      <c r="D453" s="5"/>
      <c r="E453" s="5"/>
      <c r="L453" s="5"/>
      <c r="Q453" s="7"/>
      <c r="R453" s="7"/>
      <c r="S453" s="7"/>
    </row>
    <row r="454" spans="4:19" ht="14" x14ac:dyDescent="0.2">
      <c r="D454" s="5"/>
      <c r="E454" s="5"/>
      <c r="L454" s="5"/>
      <c r="Q454" s="7"/>
      <c r="R454" s="7"/>
      <c r="S454" s="7"/>
    </row>
    <row r="455" spans="4:19" ht="14" x14ac:dyDescent="0.2">
      <c r="D455" s="5"/>
      <c r="E455" s="5"/>
      <c r="L455" s="5"/>
      <c r="Q455" s="7"/>
      <c r="R455" s="7"/>
      <c r="S455" s="7"/>
    </row>
    <row r="456" spans="4:19" ht="14" x14ac:dyDescent="0.2">
      <c r="D456" s="5"/>
      <c r="E456" s="5"/>
      <c r="L456" s="5"/>
      <c r="Q456" s="7"/>
      <c r="R456" s="7"/>
      <c r="S456" s="7"/>
    </row>
    <row r="457" spans="4:19" ht="14" x14ac:dyDescent="0.2">
      <c r="D457" s="5"/>
      <c r="E457" s="5"/>
      <c r="L457" s="5"/>
      <c r="Q457" s="7"/>
      <c r="R457" s="7"/>
      <c r="S457" s="7"/>
    </row>
    <row r="458" spans="4:19" ht="14" x14ac:dyDescent="0.2">
      <c r="D458" s="5"/>
      <c r="E458" s="5"/>
      <c r="L458" s="5"/>
      <c r="Q458" s="7"/>
      <c r="R458" s="7"/>
      <c r="S458" s="7"/>
    </row>
    <row r="459" spans="4:19" ht="14" x14ac:dyDescent="0.2">
      <c r="D459" s="5"/>
      <c r="E459" s="5"/>
      <c r="L459" s="5"/>
      <c r="Q459" s="7"/>
      <c r="R459" s="7"/>
      <c r="S459" s="7"/>
    </row>
    <row r="460" spans="4:19" ht="14" x14ac:dyDescent="0.2">
      <c r="D460" s="5"/>
      <c r="E460" s="5"/>
      <c r="L460" s="5"/>
      <c r="Q460" s="7"/>
      <c r="R460" s="7"/>
      <c r="S460" s="7"/>
    </row>
    <row r="461" spans="4:19" ht="14" x14ac:dyDescent="0.2">
      <c r="D461" s="5"/>
      <c r="E461" s="5"/>
      <c r="L461" s="5"/>
      <c r="Q461" s="7"/>
      <c r="R461" s="7"/>
      <c r="S461" s="7"/>
    </row>
    <row r="462" spans="4:19" ht="14" x14ac:dyDescent="0.2">
      <c r="D462" s="5"/>
      <c r="E462" s="5"/>
      <c r="L462" s="5"/>
      <c r="Q462" s="7"/>
      <c r="R462" s="7"/>
      <c r="S462" s="7"/>
    </row>
    <row r="463" spans="4:19" ht="14" x14ac:dyDescent="0.2">
      <c r="D463" s="5"/>
      <c r="E463" s="5"/>
      <c r="L463" s="5"/>
      <c r="Q463" s="7"/>
      <c r="R463" s="7"/>
      <c r="S463" s="7"/>
    </row>
    <row r="464" spans="4:19" ht="14" x14ac:dyDescent="0.2">
      <c r="D464" s="5"/>
      <c r="E464" s="5"/>
      <c r="L464" s="5"/>
      <c r="Q464" s="7"/>
      <c r="R464" s="7"/>
      <c r="S464" s="7"/>
    </row>
    <row r="465" spans="4:19" ht="14" x14ac:dyDescent="0.2">
      <c r="D465" s="5"/>
      <c r="E465" s="5"/>
      <c r="L465" s="5"/>
      <c r="Q465" s="7"/>
      <c r="R465" s="7"/>
      <c r="S465" s="7"/>
    </row>
    <row r="466" spans="4:19" ht="14" x14ac:dyDescent="0.2">
      <c r="D466" s="5"/>
      <c r="E466" s="5"/>
      <c r="L466" s="5"/>
      <c r="Q466" s="7"/>
      <c r="R466" s="7"/>
      <c r="S466" s="7"/>
    </row>
    <row r="467" spans="4:19" ht="14" x14ac:dyDescent="0.2">
      <c r="D467" s="5"/>
      <c r="E467" s="5"/>
      <c r="L467" s="5"/>
      <c r="Q467" s="7"/>
      <c r="R467" s="7"/>
      <c r="S467" s="7"/>
    </row>
    <row r="468" spans="4:19" ht="14" x14ac:dyDescent="0.2">
      <c r="D468" s="5"/>
      <c r="E468" s="5"/>
      <c r="L468" s="5"/>
      <c r="Q468" s="7"/>
      <c r="R468" s="7"/>
      <c r="S468" s="7"/>
    </row>
    <row r="469" spans="4:19" ht="14" x14ac:dyDescent="0.2">
      <c r="D469" s="5"/>
      <c r="E469" s="5"/>
      <c r="L469" s="5"/>
      <c r="Q469" s="7"/>
      <c r="R469" s="7"/>
      <c r="S469" s="7"/>
    </row>
    <row r="470" spans="4:19" ht="14" x14ac:dyDescent="0.2">
      <c r="D470" s="5"/>
      <c r="E470" s="5"/>
      <c r="L470" s="5"/>
      <c r="Q470" s="7"/>
      <c r="R470" s="7"/>
      <c r="S470" s="7"/>
    </row>
    <row r="471" spans="4:19" ht="14" x14ac:dyDescent="0.2">
      <c r="D471" s="5"/>
      <c r="E471" s="5"/>
      <c r="L471" s="5"/>
      <c r="Q471" s="7"/>
      <c r="R471" s="7"/>
      <c r="S471" s="7"/>
    </row>
    <row r="472" spans="4:19" ht="14" x14ac:dyDescent="0.2">
      <c r="D472" s="5"/>
      <c r="E472" s="5"/>
      <c r="L472" s="5"/>
      <c r="Q472" s="7"/>
      <c r="R472" s="7"/>
      <c r="S472" s="7"/>
    </row>
    <row r="473" spans="4:19" ht="14" x14ac:dyDescent="0.2">
      <c r="D473" s="5"/>
      <c r="E473" s="5"/>
      <c r="L473" s="5"/>
      <c r="Q473" s="7"/>
      <c r="R473" s="7"/>
      <c r="S473" s="7"/>
    </row>
    <row r="474" spans="4:19" ht="14" x14ac:dyDescent="0.2">
      <c r="D474" s="5"/>
      <c r="E474" s="5"/>
      <c r="L474" s="5"/>
      <c r="Q474" s="7"/>
      <c r="R474" s="7"/>
      <c r="S474" s="7"/>
    </row>
    <row r="475" spans="4:19" ht="14" x14ac:dyDescent="0.2">
      <c r="D475" s="5"/>
      <c r="E475" s="5"/>
      <c r="L475" s="5"/>
      <c r="Q475" s="7"/>
      <c r="R475" s="7"/>
      <c r="S475" s="7"/>
    </row>
    <row r="476" spans="4:19" ht="14" x14ac:dyDescent="0.2">
      <c r="D476" s="5"/>
      <c r="E476" s="5"/>
      <c r="L476" s="5"/>
      <c r="Q476" s="7"/>
      <c r="R476" s="7"/>
      <c r="S476" s="7"/>
    </row>
    <row r="477" spans="4:19" ht="14" x14ac:dyDescent="0.2">
      <c r="D477" s="5"/>
      <c r="E477" s="5"/>
      <c r="L477" s="5"/>
      <c r="Q477" s="7"/>
      <c r="R477" s="7"/>
      <c r="S477" s="7"/>
    </row>
    <row r="478" spans="4:19" ht="14" x14ac:dyDescent="0.2">
      <c r="D478" s="5"/>
      <c r="E478" s="5"/>
      <c r="L478" s="5"/>
      <c r="Q478" s="7"/>
      <c r="R478" s="7"/>
      <c r="S478" s="7"/>
    </row>
    <row r="479" spans="4:19" ht="14" x14ac:dyDescent="0.2">
      <c r="D479" s="5"/>
      <c r="E479" s="5"/>
      <c r="L479" s="5"/>
      <c r="Q479" s="7"/>
      <c r="R479" s="7"/>
      <c r="S479" s="7"/>
    </row>
    <row r="480" spans="4:19" ht="14" x14ac:dyDescent="0.2">
      <c r="D480" s="5"/>
      <c r="E480" s="5"/>
      <c r="L480" s="5"/>
      <c r="Q480" s="7"/>
      <c r="R480" s="7"/>
      <c r="S480" s="7"/>
    </row>
    <row r="481" spans="4:19" ht="14" x14ac:dyDescent="0.2">
      <c r="D481" s="5"/>
      <c r="E481" s="5"/>
      <c r="L481" s="5"/>
      <c r="Q481" s="7"/>
      <c r="R481" s="7"/>
      <c r="S481" s="7"/>
    </row>
    <row r="482" spans="4:19" ht="14" x14ac:dyDescent="0.2">
      <c r="D482" s="5"/>
      <c r="E482" s="5"/>
      <c r="L482" s="5"/>
      <c r="Q482" s="7"/>
      <c r="R482" s="7"/>
      <c r="S482" s="7"/>
    </row>
    <row r="483" spans="4:19" ht="14" x14ac:dyDescent="0.2">
      <c r="D483" s="5"/>
      <c r="E483" s="5"/>
      <c r="L483" s="5"/>
      <c r="Q483" s="7"/>
      <c r="R483" s="7"/>
      <c r="S483" s="7"/>
    </row>
    <row r="484" spans="4:19" ht="14" x14ac:dyDescent="0.2">
      <c r="D484" s="5"/>
      <c r="E484" s="5"/>
      <c r="L484" s="5"/>
      <c r="Q484" s="7"/>
      <c r="R484" s="7"/>
      <c r="S484" s="7"/>
    </row>
    <row r="485" spans="4:19" ht="14" x14ac:dyDescent="0.2">
      <c r="D485" s="5"/>
      <c r="E485" s="5"/>
      <c r="L485" s="5"/>
      <c r="Q485" s="7"/>
      <c r="R485" s="7"/>
      <c r="S485" s="7"/>
    </row>
    <row r="486" spans="4:19" ht="14" x14ac:dyDescent="0.2">
      <c r="D486" s="5"/>
      <c r="E486" s="5"/>
      <c r="L486" s="5"/>
      <c r="Q486" s="7"/>
      <c r="R486" s="7"/>
      <c r="S486" s="7"/>
    </row>
    <row r="487" spans="4:19" ht="14" x14ac:dyDescent="0.2">
      <c r="D487" s="5"/>
      <c r="E487" s="5"/>
      <c r="L487" s="5"/>
      <c r="Q487" s="7"/>
      <c r="R487" s="7"/>
      <c r="S487" s="7"/>
    </row>
    <row r="488" spans="4:19" ht="14" x14ac:dyDescent="0.2">
      <c r="D488" s="5"/>
      <c r="E488" s="5"/>
      <c r="L488" s="5"/>
      <c r="Q488" s="7"/>
      <c r="R488" s="7"/>
      <c r="S488" s="7"/>
    </row>
    <row r="489" spans="4:19" ht="14" x14ac:dyDescent="0.2">
      <c r="D489" s="5"/>
      <c r="E489" s="5"/>
      <c r="L489" s="5"/>
      <c r="Q489" s="7"/>
      <c r="R489" s="7"/>
      <c r="S489" s="7"/>
    </row>
    <row r="490" spans="4:19" ht="14" x14ac:dyDescent="0.2">
      <c r="D490" s="5"/>
      <c r="E490" s="5"/>
      <c r="L490" s="5"/>
      <c r="Q490" s="7"/>
      <c r="R490" s="7"/>
      <c r="S490" s="7"/>
    </row>
    <row r="491" spans="4:19" ht="14" x14ac:dyDescent="0.2">
      <c r="D491" s="5"/>
      <c r="E491" s="5"/>
      <c r="L491" s="5"/>
      <c r="Q491" s="7"/>
      <c r="R491" s="7"/>
      <c r="S491" s="7"/>
    </row>
    <row r="492" spans="4:19" ht="14" x14ac:dyDescent="0.2">
      <c r="D492" s="5"/>
      <c r="E492" s="5"/>
      <c r="L492" s="5"/>
      <c r="Q492" s="7"/>
      <c r="R492" s="7"/>
      <c r="S492" s="7"/>
    </row>
    <row r="493" spans="4:19" ht="14" x14ac:dyDescent="0.2">
      <c r="D493" s="5"/>
      <c r="E493" s="5"/>
      <c r="L493" s="5"/>
      <c r="Q493" s="7"/>
      <c r="R493" s="7"/>
      <c r="S493" s="7"/>
    </row>
    <row r="494" spans="4:19" ht="14" x14ac:dyDescent="0.2">
      <c r="D494" s="5"/>
      <c r="E494" s="5"/>
      <c r="L494" s="5"/>
      <c r="Q494" s="7"/>
      <c r="R494" s="7"/>
      <c r="S494" s="7"/>
    </row>
    <row r="495" spans="4:19" ht="14" x14ac:dyDescent="0.2">
      <c r="D495" s="5"/>
      <c r="E495" s="5"/>
      <c r="L495" s="5"/>
      <c r="Q495" s="7"/>
      <c r="R495" s="7"/>
      <c r="S495" s="7"/>
    </row>
    <row r="496" spans="4:19" ht="14" x14ac:dyDescent="0.2">
      <c r="D496" s="5"/>
      <c r="E496" s="5"/>
      <c r="L496" s="5"/>
      <c r="Q496" s="7"/>
      <c r="R496" s="7"/>
      <c r="S496" s="7"/>
    </row>
    <row r="497" spans="4:19" ht="14" x14ac:dyDescent="0.2">
      <c r="D497" s="5"/>
      <c r="E497" s="5"/>
      <c r="L497" s="5"/>
      <c r="Q497" s="7"/>
      <c r="R497" s="7"/>
      <c r="S497" s="7"/>
    </row>
    <row r="498" spans="4:19" ht="14" x14ac:dyDescent="0.2">
      <c r="D498" s="5"/>
      <c r="E498" s="5"/>
      <c r="L498" s="5"/>
      <c r="Q498" s="7"/>
      <c r="R498" s="7"/>
      <c r="S498" s="7"/>
    </row>
    <row r="499" spans="4:19" ht="14" x14ac:dyDescent="0.2">
      <c r="D499" s="5"/>
      <c r="E499" s="5"/>
      <c r="L499" s="5"/>
      <c r="Q499" s="7"/>
      <c r="R499" s="7"/>
      <c r="S499" s="7"/>
    </row>
    <row r="500" spans="4:19" ht="14" x14ac:dyDescent="0.2">
      <c r="D500" s="5"/>
      <c r="E500" s="5"/>
      <c r="L500" s="5"/>
      <c r="Q500" s="7"/>
      <c r="R500" s="7"/>
      <c r="S500" s="7"/>
    </row>
    <row r="501" spans="4:19" ht="14" x14ac:dyDescent="0.2">
      <c r="D501" s="5"/>
      <c r="E501" s="5"/>
      <c r="L501" s="5"/>
      <c r="Q501" s="7"/>
      <c r="R501" s="7"/>
      <c r="S501" s="7"/>
    </row>
    <row r="502" spans="4:19" ht="14" x14ac:dyDescent="0.2">
      <c r="D502" s="5"/>
      <c r="E502" s="5"/>
      <c r="L502" s="5"/>
      <c r="Q502" s="7"/>
      <c r="R502" s="7"/>
      <c r="S502" s="7"/>
    </row>
    <row r="503" spans="4:19" ht="14" x14ac:dyDescent="0.2">
      <c r="D503" s="5"/>
      <c r="E503" s="5"/>
      <c r="L503" s="5"/>
      <c r="Q503" s="7"/>
      <c r="R503" s="7"/>
      <c r="S503" s="7"/>
    </row>
    <row r="504" spans="4:19" ht="14" x14ac:dyDescent="0.2">
      <c r="D504" s="5"/>
      <c r="E504" s="5"/>
      <c r="L504" s="5"/>
      <c r="Q504" s="7"/>
      <c r="R504" s="7"/>
      <c r="S504" s="7"/>
    </row>
    <row r="505" spans="4:19" ht="14" x14ac:dyDescent="0.2">
      <c r="D505" s="5"/>
      <c r="E505" s="5"/>
      <c r="L505" s="5"/>
      <c r="Q505" s="7"/>
      <c r="R505" s="7"/>
      <c r="S505" s="7"/>
    </row>
    <row r="506" spans="4:19" ht="14" x14ac:dyDescent="0.2">
      <c r="D506" s="5"/>
      <c r="E506" s="5"/>
      <c r="L506" s="5"/>
      <c r="Q506" s="7"/>
      <c r="R506" s="7"/>
      <c r="S506" s="7"/>
    </row>
    <row r="507" spans="4:19" ht="14" x14ac:dyDescent="0.2">
      <c r="D507" s="5"/>
      <c r="E507" s="5"/>
      <c r="L507" s="5"/>
      <c r="Q507" s="7"/>
      <c r="R507" s="7"/>
      <c r="S507" s="7"/>
    </row>
    <row r="508" spans="4:19" ht="14" x14ac:dyDescent="0.2">
      <c r="D508" s="5"/>
      <c r="E508" s="5"/>
      <c r="L508" s="5"/>
      <c r="Q508" s="7"/>
      <c r="R508" s="7"/>
      <c r="S508" s="7"/>
    </row>
    <row r="509" spans="4:19" ht="14" x14ac:dyDescent="0.2">
      <c r="D509" s="5"/>
      <c r="E509" s="5"/>
      <c r="L509" s="5"/>
      <c r="Q509" s="7"/>
      <c r="R509" s="7"/>
      <c r="S509" s="7"/>
    </row>
    <row r="510" spans="4:19" ht="14" x14ac:dyDescent="0.2">
      <c r="D510" s="5"/>
      <c r="E510" s="5"/>
      <c r="L510" s="5"/>
      <c r="Q510" s="7"/>
      <c r="R510" s="7"/>
      <c r="S510" s="7"/>
    </row>
    <row r="511" spans="4:19" ht="14" x14ac:dyDescent="0.2">
      <c r="D511" s="5"/>
      <c r="E511" s="5"/>
      <c r="L511" s="5"/>
      <c r="Q511" s="7"/>
      <c r="R511" s="7"/>
      <c r="S511" s="7"/>
    </row>
    <row r="512" spans="4:19" ht="14" x14ac:dyDescent="0.2">
      <c r="D512" s="5"/>
      <c r="E512" s="5"/>
      <c r="L512" s="5"/>
      <c r="Q512" s="7"/>
      <c r="R512" s="7"/>
      <c r="S512" s="7"/>
    </row>
    <row r="513" spans="4:19" ht="14" x14ac:dyDescent="0.2">
      <c r="D513" s="5"/>
      <c r="E513" s="5"/>
      <c r="L513" s="5"/>
      <c r="Q513" s="7"/>
      <c r="R513" s="7"/>
      <c r="S513" s="7"/>
    </row>
    <row r="514" spans="4:19" ht="14" x14ac:dyDescent="0.2">
      <c r="D514" s="5"/>
      <c r="E514" s="5"/>
      <c r="L514" s="5"/>
      <c r="Q514" s="7"/>
      <c r="R514" s="7"/>
      <c r="S514" s="7"/>
    </row>
    <row r="515" spans="4:19" ht="14" x14ac:dyDescent="0.2">
      <c r="D515" s="5"/>
      <c r="E515" s="5"/>
      <c r="L515" s="5"/>
      <c r="Q515" s="7"/>
      <c r="R515" s="7"/>
      <c r="S515" s="7"/>
    </row>
    <row r="516" spans="4:19" ht="14" x14ac:dyDescent="0.2">
      <c r="D516" s="5"/>
      <c r="E516" s="5"/>
      <c r="L516" s="5"/>
      <c r="Q516" s="7"/>
      <c r="R516" s="7"/>
      <c r="S516" s="7"/>
    </row>
    <row r="517" spans="4:19" ht="14" x14ac:dyDescent="0.2">
      <c r="D517" s="5"/>
      <c r="E517" s="5"/>
      <c r="L517" s="5"/>
      <c r="Q517" s="7"/>
      <c r="R517" s="7"/>
      <c r="S517" s="7"/>
    </row>
    <row r="518" spans="4:19" ht="14" x14ac:dyDescent="0.2">
      <c r="D518" s="5"/>
      <c r="E518" s="5"/>
      <c r="L518" s="5"/>
      <c r="Q518" s="7"/>
      <c r="R518" s="7"/>
      <c r="S518" s="7"/>
    </row>
    <row r="519" spans="4:19" ht="14" x14ac:dyDescent="0.2">
      <c r="D519" s="5"/>
      <c r="E519" s="5"/>
      <c r="L519" s="5"/>
      <c r="Q519" s="7"/>
      <c r="R519" s="7"/>
      <c r="S519" s="7"/>
    </row>
    <row r="520" spans="4:19" ht="14" x14ac:dyDescent="0.2">
      <c r="D520" s="5"/>
      <c r="E520" s="5"/>
      <c r="L520" s="5"/>
      <c r="Q520" s="7"/>
      <c r="R520" s="7"/>
      <c r="S520" s="7"/>
    </row>
    <row r="521" spans="4:19" ht="14" x14ac:dyDescent="0.2">
      <c r="D521" s="5"/>
      <c r="E521" s="5"/>
      <c r="L521" s="5"/>
      <c r="Q521" s="7"/>
      <c r="R521" s="7"/>
      <c r="S521" s="7"/>
    </row>
    <row r="522" spans="4:19" ht="14" x14ac:dyDescent="0.2">
      <c r="D522" s="5"/>
      <c r="E522" s="5"/>
      <c r="L522" s="5"/>
      <c r="Q522" s="7"/>
      <c r="R522" s="7"/>
      <c r="S522" s="7"/>
    </row>
    <row r="523" spans="4:19" ht="14" x14ac:dyDescent="0.2">
      <c r="D523" s="5"/>
      <c r="E523" s="5"/>
      <c r="L523" s="5"/>
      <c r="Q523" s="7"/>
      <c r="R523" s="7"/>
      <c r="S523" s="7"/>
    </row>
    <row r="524" spans="4:19" ht="14" x14ac:dyDescent="0.2">
      <c r="D524" s="5"/>
      <c r="E524" s="5"/>
      <c r="L524" s="5"/>
      <c r="Q524" s="7"/>
      <c r="R524" s="7"/>
      <c r="S524" s="7"/>
    </row>
    <row r="525" spans="4:19" ht="14" x14ac:dyDescent="0.2">
      <c r="D525" s="5"/>
      <c r="E525" s="5"/>
      <c r="L525" s="5"/>
      <c r="Q525" s="7"/>
      <c r="R525" s="7"/>
      <c r="S525" s="7"/>
    </row>
    <row r="526" spans="4:19" ht="14" x14ac:dyDescent="0.2">
      <c r="D526" s="5"/>
      <c r="E526" s="5"/>
      <c r="L526" s="5"/>
      <c r="Q526" s="7"/>
      <c r="R526" s="7"/>
      <c r="S526" s="7"/>
    </row>
    <row r="527" spans="4:19" ht="14" x14ac:dyDescent="0.2">
      <c r="D527" s="5"/>
      <c r="E527" s="5"/>
      <c r="L527" s="5"/>
      <c r="Q527" s="7"/>
      <c r="R527" s="7"/>
      <c r="S527" s="7"/>
    </row>
    <row r="528" spans="4:19" ht="14" x14ac:dyDescent="0.2">
      <c r="D528" s="5"/>
      <c r="E528" s="5"/>
      <c r="L528" s="5"/>
      <c r="Q528" s="7"/>
      <c r="R528" s="7"/>
      <c r="S528" s="7"/>
    </row>
    <row r="529" spans="4:19" ht="14" x14ac:dyDescent="0.2">
      <c r="D529" s="5"/>
      <c r="E529" s="5"/>
      <c r="L529" s="5"/>
      <c r="Q529" s="7"/>
      <c r="R529" s="7"/>
      <c r="S529" s="7"/>
    </row>
    <row r="530" spans="4:19" ht="14" x14ac:dyDescent="0.2">
      <c r="D530" s="5"/>
      <c r="E530" s="5"/>
      <c r="L530" s="5"/>
      <c r="Q530" s="7"/>
      <c r="R530" s="7"/>
      <c r="S530" s="7"/>
    </row>
    <row r="531" spans="4:19" ht="14" x14ac:dyDescent="0.2">
      <c r="D531" s="5"/>
      <c r="E531" s="5"/>
      <c r="L531" s="5"/>
      <c r="Q531" s="7"/>
      <c r="R531" s="7"/>
      <c r="S531" s="7"/>
    </row>
    <row r="532" spans="4:19" ht="14" x14ac:dyDescent="0.2">
      <c r="D532" s="5"/>
      <c r="E532" s="5"/>
      <c r="L532" s="5"/>
      <c r="Q532" s="7"/>
      <c r="R532" s="7"/>
      <c r="S532" s="7"/>
    </row>
    <row r="533" spans="4:19" ht="14" x14ac:dyDescent="0.2">
      <c r="D533" s="5"/>
      <c r="E533" s="5"/>
      <c r="L533" s="5"/>
      <c r="Q533" s="7"/>
      <c r="R533" s="7"/>
      <c r="S533" s="7"/>
    </row>
    <row r="534" spans="4:19" ht="14" x14ac:dyDescent="0.2">
      <c r="D534" s="5"/>
      <c r="E534" s="5"/>
      <c r="L534" s="5"/>
      <c r="Q534" s="7"/>
      <c r="R534" s="7"/>
      <c r="S534" s="7"/>
    </row>
    <row r="535" spans="4:19" ht="14" x14ac:dyDescent="0.2">
      <c r="D535" s="5"/>
      <c r="E535" s="5"/>
      <c r="L535" s="5"/>
      <c r="Q535" s="7"/>
      <c r="R535" s="7"/>
      <c r="S535" s="7"/>
    </row>
    <row r="536" spans="4:19" ht="14" x14ac:dyDescent="0.2">
      <c r="D536" s="5"/>
      <c r="E536" s="5"/>
      <c r="L536" s="5"/>
      <c r="Q536" s="7"/>
      <c r="R536" s="7"/>
      <c r="S536" s="7"/>
    </row>
    <row r="537" spans="4:19" ht="14" x14ac:dyDescent="0.2">
      <c r="D537" s="5"/>
      <c r="E537" s="5"/>
      <c r="L537" s="5"/>
      <c r="Q537" s="7"/>
      <c r="R537" s="7"/>
      <c r="S537" s="7"/>
    </row>
    <row r="538" spans="4:19" ht="14" x14ac:dyDescent="0.2">
      <c r="D538" s="5"/>
      <c r="E538" s="5"/>
      <c r="L538" s="5"/>
      <c r="Q538" s="7"/>
      <c r="R538" s="7"/>
      <c r="S538" s="7"/>
    </row>
    <row r="539" spans="4:19" ht="14" x14ac:dyDescent="0.2">
      <c r="D539" s="5"/>
      <c r="E539" s="5"/>
      <c r="L539" s="5"/>
      <c r="Q539" s="7"/>
      <c r="R539" s="7"/>
      <c r="S539" s="7"/>
    </row>
    <row r="540" spans="4:19" ht="14" x14ac:dyDescent="0.2">
      <c r="D540" s="5"/>
      <c r="E540" s="5"/>
      <c r="L540" s="5"/>
      <c r="Q540" s="7"/>
      <c r="R540" s="7"/>
      <c r="S540" s="7"/>
    </row>
    <row r="541" spans="4:19" ht="14" x14ac:dyDescent="0.2">
      <c r="D541" s="5"/>
      <c r="E541" s="5"/>
      <c r="L541" s="5"/>
      <c r="Q541" s="7"/>
      <c r="R541" s="7"/>
      <c r="S541" s="7"/>
    </row>
    <row r="542" spans="4:19" ht="14" x14ac:dyDescent="0.2">
      <c r="D542" s="5"/>
      <c r="E542" s="5"/>
      <c r="L542" s="5"/>
      <c r="Q542" s="7"/>
      <c r="R542" s="7"/>
      <c r="S542" s="7"/>
    </row>
    <row r="543" spans="4:19" ht="14" x14ac:dyDescent="0.2">
      <c r="D543" s="5"/>
      <c r="E543" s="5"/>
      <c r="L543" s="5"/>
      <c r="Q543" s="7"/>
      <c r="R543" s="7"/>
      <c r="S543" s="7"/>
    </row>
    <row r="544" spans="4:19" ht="14" x14ac:dyDescent="0.2">
      <c r="D544" s="5"/>
      <c r="E544" s="5"/>
      <c r="L544" s="5"/>
      <c r="Q544" s="7"/>
      <c r="R544" s="7"/>
      <c r="S544" s="7"/>
    </row>
    <row r="545" spans="4:19" ht="14" x14ac:dyDescent="0.2">
      <c r="D545" s="5"/>
      <c r="E545" s="5"/>
      <c r="L545" s="5"/>
      <c r="Q545" s="7"/>
      <c r="R545" s="7"/>
      <c r="S545" s="7"/>
    </row>
    <row r="546" spans="4:19" ht="14" x14ac:dyDescent="0.2">
      <c r="D546" s="5"/>
      <c r="E546" s="5"/>
      <c r="L546" s="5"/>
      <c r="Q546" s="7"/>
      <c r="R546" s="7"/>
      <c r="S546" s="7"/>
    </row>
    <row r="547" spans="4:19" ht="14" x14ac:dyDescent="0.2">
      <c r="D547" s="5"/>
      <c r="E547" s="5"/>
      <c r="L547" s="5"/>
      <c r="Q547" s="7"/>
      <c r="R547" s="7"/>
      <c r="S547" s="7"/>
    </row>
    <row r="548" spans="4:19" ht="14" x14ac:dyDescent="0.2">
      <c r="D548" s="5"/>
      <c r="E548" s="5"/>
      <c r="L548" s="5"/>
      <c r="Q548" s="7"/>
      <c r="R548" s="7"/>
      <c r="S548" s="7"/>
    </row>
    <row r="549" spans="4:19" ht="14" x14ac:dyDescent="0.2">
      <c r="D549" s="5"/>
      <c r="E549" s="5"/>
      <c r="L549" s="5"/>
      <c r="Q549" s="7"/>
      <c r="R549" s="7"/>
      <c r="S549" s="7"/>
    </row>
    <row r="550" spans="4:19" ht="14" x14ac:dyDescent="0.2">
      <c r="D550" s="5"/>
      <c r="E550" s="5"/>
      <c r="L550" s="5"/>
      <c r="Q550" s="7"/>
      <c r="R550" s="7"/>
      <c r="S550" s="7"/>
    </row>
    <row r="551" spans="4:19" ht="14" x14ac:dyDescent="0.2">
      <c r="D551" s="5"/>
      <c r="E551" s="5"/>
      <c r="L551" s="5"/>
      <c r="Q551" s="7"/>
      <c r="R551" s="7"/>
      <c r="S551" s="7"/>
    </row>
    <row r="552" spans="4:19" ht="14" x14ac:dyDescent="0.2">
      <c r="D552" s="5"/>
      <c r="E552" s="5"/>
      <c r="L552" s="5"/>
      <c r="Q552" s="7"/>
      <c r="R552" s="7"/>
      <c r="S552" s="7"/>
    </row>
    <row r="553" spans="4:19" ht="14" x14ac:dyDescent="0.2">
      <c r="D553" s="5"/>
      <c r="E553" s="5"/>
      <c r="L553" s="5"/>
      <c r="Q553" s="7"/>
      <c r="R553" s="7"/>
      <c r="S553" s="7"/>
    </row>
    <row r="554" spans="4:19" ht="14" x14ac:dyDescent="0.2">
      <c r="D554" s="5"/>
      <c r="E554" s="5"/>
      <c r="L554" s="5"/>
      <c r="Q554" s="7"/>
      <c r="R554" s="7"/>
      <c r="S554" s="7"/>
    </row>
    <row r="555" spans="4:19" ht="14" x14ac:dyDescent="0.2">
      <c r="D555" s="5"/>
      <c r="E555" s="5"/>
      <c r="L555" s="5"/>
      <c r="Q555" s="7"/>
      <c r="R555" s="7"/>
      <c r="S555" s="7"/>
    </row>
    <row r="556" spans="4:19" ht="14" x14ac:dyDescent="0.2">
      <c r="D556" s="5"/>
      <c r="E556" s="5"/>
      <c r="L556" s="5"/>
      <c r="Q556" s="7"/>
      <c r="R556" s="7"/>
      <c r="S556" s="7"/>
    </row>
    <row r="557" spans="4:19" ht="14" x14ac:dyDescent="0.2">
      <c r="D557" s="5"/>
      <c r="E557" s="5"/>
      <c r="L557" s="5"/>
      <c r="Q557" s="7"/>
      <c r="R557" s="7"/>
      <c r="S557" s="7"/>
    </row>
    <row r="558" spans="4:19" ht="14" x14ac:dyDescent="0.2">
      <c r="D558" s="5"/>
      <c r="E558" s="5"/>
      <c r="L558" s="5"/>
      <c r="Q558" s="7"/>
      <c r="R558" s="7"/>
      <c r="S558" s="7"/>
    </row>
    <row r="559" spans="4:19" ht="14" x14ac:dyDescent="0.2">
      <c r="D559" s="5"/>
      <c r="E559" s="5"/>
      <c r="L559" s="5"/>
      <c r="Q559" s="7"/>
      <c r="R559" s="7"/>
      <c r="S559" s="7"/>
    </row>
    <row r="560" spans="4:19" ht="14" x14ac:dyDescent="0.2">
      <c r="D560" s="5"/>
      <c r="E560" s="5"/>
      <c r="L560" s="5"/>
      <c r="Q560" s="7"/>
      <c r="R560" s="7"/>
      <c r="S560" s="7"/>
    </row>
    <row r="561" spans="4:19" ht="14" x14ac:dyDescent="0.2">
      <c r="D561" s="5"/>
      <c r="E561" s="5"/>
      <c r="L561" s="5"/>
      <c r="Q561" s="7"/>
      <c r="R561" s="7"/>
      <c r="S561" s="7"/>
    </row>
    <row r="562" spans="4:19" ht="14" x14ac:dyDescent="0.2">
      <c r="D562" s="5"/>
      <c r="E562" s="5"/>
      <c r="L562" s="5"/>
      <c r="Q562" s="7"/>
      <c r="R562" s="7"/>
      <c r="S562" s="7"/>
    </row>
    <row r="563" spans="4:19" ht="14" x14ac:dyDescent="0.2">
      <c r="D563" s="5"/>
      <c r="E563" s="5"/>
      <c r="L563" s="5"/>
      <c r="Q563" s="7"/>
      <c r="R563" s="7"/>
      <c r="S563" s="7"/>
    </row>
    <row r="564" spans="4:19" ht="14" x14ac:dyDescent="0.2">
      <c r="D564" s="5"/>
      <c r="E564" s="5"/>
      <c r="L564" s="5"/>
      <c r="Q564" s="7"/>
      <c r="R564" s="7"/>
      <c r="S564" s="7"/>
    </row>
    <row r="565" spans="4:19" ht="14" x14ac:dyDescent="0.2">
      <c r="D565" s="5"/>
      <c r="E565" s="5"/>
      <c r="L565" s="5"/>
      <c r="Q565" s="7"/>
      <c r="R565" s="7"/>
      <c r="S565" s="7"/>
    </row>
    <row r="566" spans="4:19" ht="14" x14ac:dyDescent="0.2">
      <c r="D566" s="5"/>
      <c r="E566" s="5"/>
      <c r="L566" s="5"/>
      <c r="Q566" s="7"/>
      <c r="R566" s="7"/>
      <c r="S566" s="7"/>
    </row>
    <row r="567" spans="4:19" ht="14" x14ac:dyDescent="0.2">
      <c r="D567" s="5"/>
      <c r="E567" s="5"/>
      <c r="L567" s="5"/>
      <c r="Q567" s="7"/>
      <c r="R567" s="7"/>
      <c r="S567" s="7"/>
    </row>
    <row r="568" spans="4:19" ht="14" x14ac:dyDescent="0.2">
      <c r="D568" s="5"/>
      <c r="E568" s="5"/>
      <c r="L568" s="5"/>
      <c r="Q568" s="7"/>
      <c r="R568" s="7"/>
      <c r="S568" s="7"/>
    </row>
    <row r="569" spans="4:19" ht="14" x14ac:dyDescent="0.2">
      <c r="D569" s="5"/>
      <c r="E569" s="5"/>
      <c r="L569" s="5"/>
      <c r="Q569" s="7"/>
      <c r="R569" s="7"/>
      <c r="S569" s="7"/>
    </row>
    <row r="570" spans="4:19" ht="14" x14ac:dyDescent="0.2">
      <c r="D570" s="5"/>
      <c r="E570" s="5"/>
      <c r="L570" s="5"/>
      <c r="Q570" s="7"/>
      <c r="R570" s="7"/>
      <c r="S570" s="7"/>
    </row>
    <row r="571" spans="4:19" ht="14" x14ac:dyDescent="0.2">
      <c r="D571" s="5"/>
      <c r="E571" s="5"/>
      <c r="L571" s="5"/>
      <c r="Q571" s="7"/>
      <c r="R571" s="7"/>
      <c r="S571" s="7"/>
    </row>
    <row r="572" spans="4:19" ht="14" x14ac:dyDescent="0.2">
      <c r="D572" s="5"/>
      <c r="E572" s="5"/>
      <c r="L572" s="5"/>
      <c r="Q572" s="7"/>
      <c r="R572" s="7"/>
      <c r="S572" s="7"/>
    </row>
    <row r="573" spans="4:19" ht="14" x14ac:dyDescent="0.2">
      <c r="D573" s="5"/>
      <c r="E573" s="5"/>
      <c r="L573" s="5"/>
      <c r="Q573" s="7"/>
      <c r="R573" s="7"/>
      <c r="S573" s="7"/>
    </row>
    <row r="574" spans="4:19" ht="14" x14ac:dyDescent="0.2">
      <c r="D574" s="5"/>
      <c r="E574" s="5"/>
      <c r="L574" s="5"/>
      <c r="Q574" s="7"/>
      <c r="R574" s="7"/>
      <c r="S574" s="7"/>
    </row>
    <row r="575" spans="4:19" ht="14" x14ac:dyDescent="0.2">
      <c r="D575" s="5"/>
      <c r="E575" s="5"/>
      <c r="L575" s="5"/>
      <c r="Q575" s="7"/>
      <c r="R575" s="7"/>
      <c r="S575" s="7"/>
    </row>
    <row r="576" spans="4:19" ht="14" x14ac:dyDescent="0.2">
      <c r="D576" s="5"/>
      <c r="E576" s="5"/>
      <c r="L576" s="5"/>
      <c r="Q576" s="7"/>
      <c r="R576" s="7"/>
      <c r="S576" s="7"/>
    </row>
    <row r="577" spans="4:19" ht="14" x14ac:dyDescent="0.2">
      <c r="D577" s="5"/>
      <c r="E577" s="5"/>
      <c r="L577" s="5"/>
      <c r="Q577" s="7"/>
      <c r="R577" s="7"/>
      <c r="S577" s="7"/>
    </row>
    <row r="578" spans="4:19" ht="14" x14ac:dyDescent="0.2">
      <c r="D578" s="5"/>
      <c r="E578" s="5"/>
      <c r="L578" s="5"/>
      <c r="Q578" s="7"/>
      <c r="R578" s="7"/>
      <c r="S578" s="7"/>
    </row>
    <row r="579" spans="4:19" ht="14" x14ac:dyDescent="0.2">
      <c r="D579" s="5"/>
      <c r="E579" s="5"/>
      <c r="L579" s="5"/>
      <c r="Q579" s="7"/>
      <c r="R579" s="7"/>
      <c r="S579" s="7"/>
    </row>
    <row r="580" spans="4:19" ht="14" x14ac:dyDescent="0.2">
      <c r="D580" s="5"/>
      <c r="E580" s="5"/>
      <c r="L580" s="5"/>
      <c r="Q580" s="7"/>
      <c r="R580" s="7"/>
      <c r="S580" s="7"/>
    </row>
    <row r="581" spans="4:19" ht="14" x14ac:dyDescent="0.2">
      <c r="D581" s="5"/>
      <c r="E581" s="5"/>
      <c r="L581" s="5"/>
      <c r="Q581" s="7"/>
      <c r="R581" s="7"/>
      <c r="S581" s="7"/>
    </row>
    <row r="582" spans="4:19" ht="14" x14ac:dyDescent="0.2">
      <c r="D582" s="5"/>
      <c r="E582" s="5"/>
      <c r="L582" s="5"/>
      <c r="Q582" s="7"/>
      <c r="R582" s="7"/>
      <c r="S582" s="7"/>
    </row>
    <row r="583" spans="4:19" ht="14" x14ac:dyDescent="0.2">
      <c r="D583" s="5"/>
      <c r="E583" s="5"/>
      <c r="L583" s="5"/>
      <c r="Q583" s="7"/>
      <c r="R583" s="7"/>
      <c r="S583" s="7"/>
    </row>
    <row r="584" spans="4:19" ht="14" x14ac:dyDescent="0.2">
      <c r="D584" s="5"/>
      <c r="E584" s="5"/>
      <c r="L584" s="5"/>
      <c r="Q584" s="7"/>
      <c r="R584" s="7"/>
      <c r="S584" s="7"/>
    </row>
    <row r="585" spans="4:19" ht="14" x14ac:dyDescent="0.2">
      <c r="D585" s="5"/>
      <c r="E585" s="5"/>
      <c r="L585" s="5"/>
      <c r="Q585" s="7"/>
      <c r="R585" s="7"/>
      <c r="S585" s="7"/>
    </row>
    <row r="586" spans="4:19" ht="14" x14ac:dyDescent="0.2">
      <c r="D586" s="5"/>
      <c r="E586" s="5"/>
      <c r="L586" s="5"/>
      <c r="Q586" s="7"/>
      <c r="R586" s="7"/>
      <c r="S586" s="7"/>
    </row>
    <row r="587" spans="4:19" ht="14" x14ac:dyDescent="0.2">
      <c r="D587" s="5"/>
      <c r="E587" s="5"/>
      <c r="L587" s="5"/>
      <c r="Q587" s="7"/>
      <c r="R587" s="7"/>
      <c r="S587" s="7"/>
    </row>
    <row r="588" spans="4:19" ht="14" x14ac:dyDescent="0.2">
      <c r="D588" s="5"/>
      <c r="E588" s="5"/>
      <c r="L588" s="5"/>
      <c r="Q588" s="7"/>
      <c r="R588" s="7"/>
      <c r="S588" s="7"/>
    </row>
    <row r="589" spans="4:19" ht="14" x14ac:dyDescent="0.2">
      <c r="D589" s="5"/>
      <c r="E589" s="5"/>
      <c r="L589" s="5"/>
      <c r="Q589" s="7"/>
      <c r="R589" s="7"/>
      <c r="S589" s="7"/>
    </row>
    <row r="590" spans="4:19" ht="14" x14ac:dyDescent="0.2">
      <c r="D590" s="5"/>
      <c r="E590" s="5"/>
      <c r="L590" s="5"/>
      <c r="Q590" s="7"/>
      <c r="R590" s="7"/>
      <c r="S590" s="7"/>
    </row>
    <row r="591" spans="4:19" ht="14" x14ac:dyDescent="0.2">
      <c r="D591" s="5"/>
      <c r="E591" s="5"/>
      <c r="L591" s="5"/>
      <c r="Q591" s="7"/>
      <c r="R591" s="7"/>
      <c r="S591" s="7"/>
    </row>
    <row r="592" spans="4:19" ht="14" x14ac:dyDescent="0.2">
      <c r="D592" s="5"/>
      <c r="E592" s="5"/>
      <c r="L592" s="5"/>
      <c r="Q592" s="7"/>
      <c r="R592" s="7"/>
      <c r="S592" s="7"/>
    </row>
    <row r="593" spans="4:19" ht="14" x14ac:dyDescent="0.2">
      <c r="D593" s="5"/>
      <c r="E593" s="5"/>
      <c r="L593" s="5"/>
      <c r="Q593" s="7"/>
      <c r="R593" s="7"/>
      <c r="S593" s="7"/>
    </row>
    <row r="594" spans="4:19" ht="14" x14ac:dyDescent="0.2">
      <c r="D594" s="5"/>
      <c r="E594" s="5"/>
      <c r="L594" s="5"/>
      <c r="Q594" s="7"/>
      <c r="R594" s="7"/>
      <c r="S594" s="7"/>
    </row>
    <row r="595" spans="4:19" ht="14" x14ac:dyDescent="0.2">
      <c r="D595" s="5"/>
      <c r="E595" s="5"/>
      <c r="L595" s="5"/>
      <c r="Q595" s="7"/>
      <c r="R595" s="7"/>
      <c r="S595" s="7"/>
    </row>
    <row r="596" spans="4:19" ht="14" x14ac:dyDescent="0.2">
      <c r="D596" s="5"/>
      <c r="E596" s="5"/>
      <c r="L596" s="5"/>
      <c r="Q596" s="7"/>
      <c r="R596" s="7"/>
      <c r="S596" s="7"/>
    </row>
    <row r="597" spans="4:19" ht="14" x14ac:dyDescent="0.2">
      <c r="D597" s="5"/>
      <c r="E597" s="5"/>
      <c r="L597" s="5"/>
      <c r="Q597" s="7"/>
      <c r="R597" s="7"/>
      <c r="S597" s="7"/>
    </row>
    <row r="598" spans="4:19" ht="14" x14ac:dyDescent="0.2">
      <c r="D598" s="5"/>
      <c r="E598" s="5"/>
      <c r="L598" s="5"/>
      <c r="Q598" s="7"/>
      <c r="R598" s="7"/>
      <c r="S598" s="7"/>
    </row>
    <row r="599" spans="4:19" ht="14" x14ac:dyDescent="0.2">
      <c r="D599" s="5"/>
      <c r="E599" s="5"/>
      <c r="L599" s="5"/>
      <c r="Q599" s="7"/>
      <c r="R599" s="7"/>
      <c r="S599" s="7"/>
    </row>
    <row r="600" spans="4:19" ht="14" x14ac:dyDescent="0.2">
      <c r="D600" s="5"/>
      <c r="E600" s="5"/>
      <c r="L600" s="5"/>
      <c r="Q600" s="7"/>
      <c r="R600" s="7"/>
      <c r="S600" s="7"/>
    </row>
    <row r="601" spans="4:19" ht="14" x14ac:dyDescent="0.2">
      <c r="D601" s="5"/>
      <c r="E601" s="5"/>
      <c r="L601" s="5"/>
      <c r="Q601" s="7"/>
      <c r="R601" s="7"/>
      <c r="S601" s="7"/>
    </row>
    <row r="602" spans="4:19" ht="14" x14ac:dyDescent="0.2">
      <c r="D602" s="5"/>
      <c r="E602" s="5"/>
      <c r="L602" s="5"/>
      <c r="Q602" s="7"/>
      <c r="R602" s="7"/>
      <c r="S602" s="7"/>
    </row>
    <row r="603" spans="4:19" ht="14" x14ac:dyDescent="0.2">
      <c r="D603" s="5"/>
      <c r="E603" s="5"/>
      <c r="L603" s="5"/>
      <c r="Q603" s="7"/>
      <c r="R603" s="7"/>
      <c r="S603" s="7"/>
    </row>
    <row r="604" spans="4:19" ht="14" x14ac:dyDescent="0.2">
      <c r="D604" s="5"/>
      <c r="E604" s="5"/>
      <c r="L604" s="5"/>
      <c r="Q604" s="7"/>
      <c r="R604" s="7"/>
      <c r="S604" s="7"/>
    </row>
    <row r="605" spans="4:19" ht="14" x14ac:dyDescent="0.2">
      <c r="D605" s="5"/>
      <c r="E605" s="5"/>
      <c r="L605" s="5"/>
      <c r="Q605" s="7"/>
      <c r="R605" s="7"/>
      <c r="S605" s="7"/>
    </row>
    <row r="606" spans="4:19" ht="14" x14ac:dyDescent="0.2">
      <c r="D606" s="5"/>
      <c r="E606" s="5"/>
      <c r="L606" s="5"/>
      <c r="Q606" s="7"/>
      <c r="R606" s="7"/>
      <c r="S606" s="7"/>
    </row>
    <row r="607" spans="4:19" ht="14" x14ac:dyDescent="0.2">
      <c r="D607" s="5"/>
      <c r="E607" s="5"/>
      <c r="L607" s="5"/>
      <c r="Q607" s="7"/>
      <c r="R607" s="7"/>
      <c r="S607" s="7"/>
    </row>
    <row r="608" spans="4:19" ht="14" x14ac:dyDescent="0.2">
      <c r="D608" s="5"/>
      <c r="E608" s="5"/>
      <c r="L608" s="5"/>
      <c r="Q608" s="7"/>
      <c r="R608" s="7"/>
      <c r="S608" s="7"/>
    </row>
    <row r="609" spans="4:19" ht="14" x14ac:dyDescent="0.2">
      <c r="D609" s="5"/>
      <c r="E609" s="5"/>
      <c r="L609" s="5"/>
      <c r="Q609" s="7"/>
      <c r="R609" s="7"/>
      <c r="S609" s="7"/>
    </row>
    <row r="610" spans="4:19" ht="14" x14ac:dyDescent="0.2">
      <c r="D610" s="5"/>
      <c r="E610" s="5"/>
      <c r="L610" s="5"/>
      <c r="Q610" s="7"/>
      <c r="R610" s="7"/>
      <c r="S610" s="7"/>
    </row>
    <row r="611" spans="4:19" ht="14" x14ac:dyDescent="0.2">
      <c r="D611" s="5"/>
      <c r="E611" s="5"/>
      <c r="L611" s="5"/>
      <c r="Q611" s="7"/>
      <c r="R611" s="7"/>
      <c r="S611" s="7"/>
    </row>
    <row r="612" spans="4:19" ht="14" x14ac:dyDescent="0.2">
      <c r="D612" s="5"/>
      <c r="E612" s="5"/>
      <c r="L612" s="5"/>
      <c r="Q612" s="7"/>
      <c r="R612" s="7"/>
      <c r="S612" s="7"/>
    </row>
    <row r="613" spans="4:19" ht="14" x14ac:dyDescent="0.2">
      <c r="D613" s="5"/>
      <c r="E613" s="5"/>
      <c r="L613" s="5"/>
      <c r="Q613" s="7"/>
      <c r="R613" s="7"/>
      <c r="S613" s="7"/>
    </row>
    <row r="614" spans="4:19" ht="14" x14ac:dyDescent="0.2">
      <c r="D614" s="5"/>
      <c r="E614" s="5"/>
      <c r="L614" s="5"/>
      <c r="Q614" s="7"/>
      <c r="R614" s="7"/>
      <c r="S614" s="7"/>
    </row>
    <row r="615" spans="4:19" ht="14" x14ac:dyDescent="0.2">
      <c r="D615" s="5"/>
      <c r="E615" s="5"/>
      <c r="L615" s="5"/>
      <c r="Q615" s="7"/>
      <c r="R615" s="7"/>
      <c r="S615" s="7"/>
    </row>
    <row r="616" spans="4:19" ht="14" x14ac:dyDescent="0.2">
      <c r="D616" s="5"/>
      <c r="E616" s="5"/>
      <c r="L616" s="5"/>
      <c r="Q616" s="7"/>
      <c r="R616" s="7"/>
      <c r="S616" s="7"/>
    </row>
    <row r="617" spans="4:19" ht="14" x14ac:dyDescent="0.2">
      <c r="D617" s="5"/>
      <c r="E617" s="5"/>
      <c r="L617" s="5"/>
      <c r="Q617" s="7"/>
      <c r="R617" s="7"/>
      <c r="S617" s="7"/>
    </row>
    <row r="618" spans="4:19" ht="14" x14ac:dyDescent="0.2">
      <c r="D618" s="5"/>
      <c r="E618" s="5"/>
      <c r="L618" s="5"/>
      <c r="Q618" s="7"/>
      <c r="R618" s="7"/>
      <c r="S618" s="7"/>
    </row>
    <row r="619" spans="4:19" ht="14" x14ac:dyDescent="0.2">
      <c r="D619" s="5"/>
      <c r="E619" s="5"/>
      <c r="L619" s="5"/>
      <c r="Q619" s="7"/>
      <c r="R619" s="7"/>
      <c r="S619" s="7"/>
    </row>
    <row r="620" spans="4:19" ht="14" x14ac:dyDescent="0.2">
      <c r="D620" s="5"/>
      <c r="E620" s="5"/>
      <c r="L620" s="5"/>
      <c r="Q620" s="7"/>
      <c r="R620" s="7"/>
      <c r="S620" s="7"/>
    </row>
    <row r="621" spans="4:19" ht="14" x14ac:dyDescent="0.2">
      <c r="D621" s="5"/>
      <c r="E621" s="5"/>
      <c r="L621" s="5"/>
      <c r="Q621" s="7"/>
      <c r="R621" s="7"/>
      <c r="S621" s="7"/>
    </row>
    <row r="622" spans="4:19" ht="14" x14ac:dyDescent="0.2">
      <c r="D622" s="5"/>
      <c r="E622" s="5"/>
      <c r="L622" s="5"/>
      <c r="Q622" s="7"/>
      <c r="R622" s="7"/>
      <c r="S622" s="7"/>
    </row>
    <row r="623" spans="4:19" ht="14" x14ac:dyDescent="0.2">
      <c r="D623" s="5"/>
      <c r="E623" s="5"/>
      <c r="L623" s="5"/>
      <c r="Q623" s="7"/>
      <c r="R623" s="7"/>
      <c r="S623" s="7"/>
    </row>
    <row r="624" spans="4:19" ht="14" x14ac:dyDescent="0.2">
      <c r="D624" s="5"/>
      <c r="E624" s="5"/>
      <c r="L624" s="5"/>
      <c r="Q624" s="7"/>
      <c r="R624" s="7"/>
      <c r="S624" s="7"/>
    </row>
    <row r="625" spans="4:19" ht="14" x14ac:dyDescent="0.2">
      <c r="D625" s="5"/>
      <c r="E625" s="5"/>
      <c r="L625" s="5"/>
      <c r="Q625" s="7"/>
      <c r="R625" s="7"/>
      <c r="S625" s="7"/>
    </row>
    <row r="626" spans="4:19" ht="14" x14ac:dyDescent="0.2">
      <c r="D626" s="5"/>
      <c r="E626" s="5"/>
      <c r="L626" s="5"/>
      <c r="Q626" s="7"/>
      <c r="R626" s="7"/>
      <c r="S626" s="7"/>
    </row>
    <row r="627" spans="4:19" ht="14" x14ac:dyDescent="0.2">
      <c r="D627" s="5"/>
      <c r="E627" s="5"/>
      <c r="L627" s="5"/>
      <c r="Q627" s="7"/>
      <c r="R627" s="7"/>
      <c r="S627" s="7"/>
    </row>
    <row r="628" spans="4:19" ht="14" x14ac:dyDescent="0.2">
      <c r="D628" s="5"/>
      <c r="E628" s="5"/>
      <c r="L628" s="5"/>
      <c r="Q628" s="7"/>
      <c r="R628" s="7"/>
      <c r="S628" s="7"/>
    </row>
    <row r="629" spans="4:19" ht="14" x14ac:dyDescent="0.2">
      <c r="D629" s="5"/>
      <c r="E629" s="5"/>
      <c r="L629" s="5"/>
      <c r="Q629" s="7"/>
      <c r="R629" s="7"/>
      <c r="S629" s="7"/>
    </row>
    <row r="630" spans="4:19" ht="14" x14ac:dyDescent="0.2">
      <c r="D630" s="5"/>
      <c r="E630" s="5"/>
      <c r="L630" s="5"/>
      <c r="Q630" s="7"/>
      <c r="R630" s="7"/>
      <c r="S630" s="7"/>
    </row>
    <row r="631" spans="4:19" ht="14" x14ac:dyDescent="0.2">
      <c r="D631" s="5"/>
      <c r="E631" s="5"/>
      <c r="L631" s="5"/>
      <c r="Q631" s="7"/>
      <c r="R631" s="7"/>
      <c r="S631" s="7"/>
    </row>
    <row r="632" spans="4:19" ht="14" x14ac:dyDescent="0.2">
      <c r="D632" s="5"/>
      <c r="E632" s="5"/>
      <c r="L632" s="5"/>
      <c r="Q632" s="7"/>
      <c r="R632" s="7"/>
      <c r="S632" s="7"/>
    </row>
    <row r="633" spans="4:19" ht="14" x14ac:dyDescent="0.2">
      <c r="D633" s="5"/>
      <c r="E633" s="5"/>
      <c r="L633" s="5"/>
      <c r="Q633" s="7"/>
      <c r="R633" s="7"/>
      <c r="S633" s="7"/>
    </row>
    <row r="634" spans="4:19" ht="14" x14ac:dyDescent="0.2">
      <c r="D634" s="5"/>
      <c r="E634" s="5"/>
      <c r="L634" s="5"/>
      <c r="Q634" s="7"/>
      <c r="R634" s="7"/>
      <c r="S634" s="7"/>
    </row>
    <row r="635" spans="4:19" ht="14" x14ac:dyDescent="0.2">
      <c r="D635" s="5"/>
      <c r="E635" s="5"/>
      <c r="L635" s="5"/>
      <c r="Q635" s="7"/>
      <c r="R635" s="7"/>
      <c r="S635" s="7"/>
    </row>
    <row r="636" spans="4:19" ht="14" x14ac:dyDescent="0.2">
      <c r="D636" s="5"/>
      <c r="E636" s="5"/>
      <c r="L636" s="5"/>
      <c r="Q636" s="7"/>
      <c r="R636" s="7"/>
      <c r="S636" s="7"/>
    </row>
    <row r="637" spans="4:19" ht="14" x14ac:dyDescent="0.2">
      <c r="D637" s="5"/>
      <c r="E637" s="5"/>
      <c r="L637" s="5"/>
      <c r="Q637" s="7"/>
      <c r="R637" s="7"/>
      <c r="S637" s="7"/>
    </row>
    <row r="638" spans="4:19" ht="14" x14ac:dyDescent="0.2">
      <c r="D638" s="5"/>
      <c r="E638" s="5"/>
      <c r="L638" s="5"/>
      <c r="Q638" s="7"/>
      <c r="R638" s="7"/>
      <c r="S638" s="7"/>
    </row>
    <row r="639" spans="4:19" ht="14" x14ac:dyDescent="0.2">
      <c r="D639" s="5"/>
      <c r="E639" s="5"/>
      <c r="L639" s="5"/>
      <c r="Q639" s="7"/>
      <c r="R639" s="7"/>
      <c r="S639" s="7"/>
    </row>
    <row r="640" spans="4:19" ht="14" x14ac:dyDescent="0.2">
      <c r="D640" s="5"/>
      <c r="E640" s="5"/>
      <c r="L640" s="5"/>
      <c r="Q640" s="7"/>
      <c r="R640" s="7"/>
      <c r="S640" s="7"/>
    </row>
    <row r="641" spans="4:19" ht="14" x14ac:dyDescent="0.2">
      <c r="D641" s="5"/>
      <c r="E641" s="5"/>
      <c r="L641" s="5"/>
      <c r="Q641" s="7"/>
      <c r="R641" s="7"/>
      <c r="S641" s="7"/>
    </row>
    <row r="642" spans="4:19" ht="14" x14ac:dyDescent="0.2">
      <c r="D642" s="5"/>
      <c r="E642" s="5"/>
      <c r="L642" s="5"/>
      <c r="Q642" s="7"/>
      <c r="R642" s="7"/>
      <c r="S642" s="7"/>
    </row>
    <row r="643" spans="4:19" ht="14" x14ac:dyDescent="0.2">
      <c r="D643" s="5"/>
      <c r="E643" s="5"/>
      <c r="L643" s="5"/>
      <c r="Q643" s="7"/>
      <c r="R643" s="7"/>
      <c r="S643" s="7"/>
    </row>
    <row r="644" spans="4:19" ht="14" x14ac:dyDescent="0.2">
      <c r="D644" s="5"/>
      <c r="E644" s="5"/>
      <c r="L644" s="5"/>
      <c r="Q644" s="7"/>
      <c r="R644" s="7"/>
      <c r="S644" s="7"/>
    </row>
    <row r="645" spans="4:19" ht="14" x14ac:dyDescent="0.2">
      <c r="D645" s="5"/>
      <c r="E645" s="5"/>
      <c r="L645" s="5"/>
      <c r="Q645" s="7"/>
      <c r="R645" s="7"/>
      <c r="S645" s="7"/>
    </row>
    <row r="646" spans="4:19" ht="14" x14ac:dyDescent="0.2">
      <c r="D646" s="5"/>
      <c r="E646" s="5"/>
      <c r="L646" s="5"/>
      <c r="Q646" s="7"/>
      <c r="R646" s="7"/>
      <c r="S646" s="7"/>
    </row>
    <row r="647" spans="4:19" ht="14" x14ac:dyDescent="0.2">
      <c r="D647" s="5"/>
      <c r="E647" s="5"/>
      <c r="L647" s="5"/>
      <c r="Q647" s="7"/>
      <c r="R647" s="7"/>
      <c r="S647" s="7"/>
    </row>
    <row r="648" spans="4:19" ht="14" x14ac:dyDescent="0.2">
      <c r="D648" s="5"/>
      <c r="E648" s="5"/>
      <c r="L648" s="5"/>
      <c r="Q648" s="7"/>
      <c r="R648" s="7"/>
      <c r="S648" s="7"/>
    </row>
    <row r="649" spans="4:19" ht="14" x14ac:dyDescent="0.2">
      <c r="D649" s="5"/>
      <c r="E649" s="5"/>
      <c r="L649" s="5"/>
      <c r="Q649" s="7"/>
      <c r="R649" s="7"/>
      <c r="S649" s="7"/>
    </row>
    <row r="650" spans="4:19" ht="14" x14ac:dyDescent="0.2">
      <c r="D650" s="5"/>
      <c r="E650" s="5"/>
      <c r="L650" s="5"/>
      <c r="Q650" s="7"/>
      <c r="R650" s="7"/>
      <c r="S650" s="7"/>
    </row>
    <row r="651" spans="4:19" ht="14" x14ac:dyDescent="0.2">
      <c r="D651" s="5"/>
      <c r="E651" s="5"/>
      <c r="L651" s="5"/>
      <c r="Q651" s="7"/>
      <c r="R651" s="7"/>
      <c r="S651" s="7"/>
    </row>
    <row r="652" spans="4:19" ht="14" x14ac:dyDescent="0.2">
      <c r="D652" s="5"/>
      <c r="E652" s="5"/>
      <c r="L652" s="5"/>
      <c r="Q652" s="7"/>
      <c r="R652" s="7"/>
      <c r="S652" s="7"/>
    </row>
    <row r="653" spans="4:19" ht="14" x14ac:dyDescent="0.2">
      <c r="D653" s="5"/>
      <c r="E653" s="5"/>
      <c r="L653" s="5"/>
      <c r="Q653" s="7"/>
      <c r="R653" s="7"/>
      <c r="S653" s="7"/>
    </row>
    <row r="654" spans="4:19" ht="14" x14ac:dyDescent="0.2">
      <c r="D654" s="5"/>
      <c r="E654" s="5"/>
      <c r="L654" s="5"/>
      <c r="Q654" s="7"/>
      <c r="R654" s="7"/>
      <c r="S654" s="7"/>
    </row>
    <row r="655" spans="4:19" ht="14" x14ac:dyDescent="0.2">
      <c r="D655" s="5"/>
      <c r="E655" s="5"/>
      <c r="L655" s="5"/>
      <c r="Q655" s="7"/>
      <c r="R655" s="7"/>
      <c r="S655" s="7"/>
    </row>
    <row r="656" spans="4:19" ht="14" x14ac:dyDescent="0.2">
      <c r="D656" s="5"/>
      <c r="E656" s="5"/>
      <c r="L656" s="5"/>
      <c r="Q656" s="7"/>
      <c r="R656" s="7"/>
      <c r="S656" s="7"/>
    </row>
    <row r="657" spans="4:19" ht="14" x14ac:dyDescent="0.2">
      <c r="D657" s="5"/>
      <c r="E657" s="5"/>
      <c r="L657" s="5"/>
      <c r="Q657" s="7"/>
      <c r="R657" s="7"/>
      <c r="S657" s="7"/>
    </row>
    <row r="658" spans="4:19" ht="14" x14ac:dyDescent="0.2">
      <c r="D658" s="5"/>
      <c r="E658" s="5"/>
      <c r="L658" s="5"/>
      <c r="Q658" s="7"/>
      <c r="R658" s="7"/>
      <c r="S658" s="7"/>
    </row>
    <row r="659" spans="4:19" ht="14" x14ac:dyDescent="0.2">
      <c r="D659" s="5"/>
      <c r="E659" s="5"/>
      <c r="L659" s="5"/>
      <c r="Q659" s="7"/>
      <c r="R659" s="7"/>
      <c r="S659" s="7"/>
    </row>
    <row r="660" spans="4:19" ht="14" x14ac:dyDescent="0.2">
      <c r="D660" s="5"/>
      <c r="E660" s="5"/>
      <c r="L660" s="5"/>
      <c r="Q660" s="7"/>
      <c r="R660" s="7"/>
      <c r="S660" s="7"/>
    </row>
    <row r="661" spans="4:19" ht="14" x14ac:dyDescent="0.2">
      <c r="D661" s="5"/>
      <c r="E661" s="5"/>
      <c r="L661" s="5"/>
      <c r="Q661" s="7"/>
      <c r="R661" s="7"/>
      <c r="S661" s="7"/>
    </row>
    <row r="662" spans="4:19" ht="14" x14ac:dyDescent="0.2">
      <c r="D662" s="5"/>
      <c r="E662" s="5"/>
      <c r="L662" s="5"/>
      <c r="Q662" s="7"/>
      <c r="R662" s="7"/>
      <c r="S662" s="7"/>
    </row>
    <row r="663" spans="4:19" ht="14" x14ac:dyDescent="0.2">
      <c r="D663" s="5"/>
      <c r="E663" s="5"/>
      <c r="L663" s="5"/>
      <c r="Q663" s="7"/>
      <c r="R663" s="7"/>
      <c r="S663" s="7"/>
    </row>
    <row r="664" spans="4:19" ht="14" x14ac:dyDescent="0.2">
      <c r="D664" s="5"/>
      <c r="E664" s="5"/>
      <c r="L664" s="5"/>
      <c r="Q664" s="7"/>
      <c r="R664" s="7"/>
      <c r="S664" s="7"/>
    </row>
    <row r="665" spans="4:19" ht="14" x14ac:dyDescent="0.2">
      <c r="D665" s="5"/>
      <c r="E665" s="5"/>
      <c r="L665" s="5"/>
      <c r="Q665" s="7"/>
      <c r="R665" s="7"/>
      <c r="S665" s="7"/>
    </row>
    <row r="666" spans="4:19" ht="14" x14ac:dyDescent="0.2">
      <c r="D666" s="5"/>
      <c r="E666" s="5"/>
      <c r="L666" s="5"/>
      <c r="Q666" s="7"/>
      <c r="R666" s="7"/>
      <c r="S666" s="7"/>
    </row>
    <row r="667" spans="4:19" ht="14" x14ac:dyDescent="0.2">
      <c r="D667" s="5"/>
      <c r="E667" s="5"/>
      <c r="L667" s="5"/>
      <c r="Q667" s="7"/>
      <c r="R667" s="7"/>
      <c r="S667" s="7"/>
    </row>
    <row r="668" spans="4:19" ht="14" x14ac:dyDescent="0.2">
      <c r="D668" s="5"/>
      <c r="E668" s="5"/>
      <c r="L668" s="5"/>
      <c r="Q668" s="7"/>
      <c r="R668" s="7"/>
      <c r="S668" s="7"/>
    </row>
    <row r="669" spans="4:19" ht="14" x14ac:dyDescent="0.2">
      <c r="D669" s="5"/>
      <c r="E669" s="5"/>
      <c r="L669" s="5"/>
      <c r="Q669" s="7"/>
      <c r="R669" s="7"/>
      <c r="S669" s="7"/>
    </row>
    <row r="670" spans="4:19" ht="14" x14ac:dyDescent="0.2">
      <c r="D670" s="5"/>
      <c r="E670" s="5"/>
      <c r="L670" s="5"/>
      <c r="Q670" s="7"/>
      <c r="R670" s="7"/>
      <c r="S670" s="7"/>
    </row>
    <row r="671" spans="4:19" ht="14" x14ac:dyDescent="0.2">
      <c r="D671" s="5"/>
      <c r="E671" s="5"/>
      <c r="L671" s="5"/>
      <c r="Q671" s="7"/>
      <c r="R671" s="7"/>
      <c r="S671" s="7"/>
    </row>
    <row r="672" spans="4:19" ht="14" x14ac:dyDescent="0.2">
      <c r="D672" s="5"/>
      <c r="E672" s="5"/>
      <c r="L672" s="5"/>
      <c r="Q672" s="7"/>
      <c r="R672" s="7"/>
      <c r="S672" s="7"/>
    </row>
    <row r="673" spans="4:19" ht="14" x14ac:dyDescent="0.2">
      <c r="D673" s="5"/>
      <c r="E673" s="5"/>
      <c r="L673" s="5"/>
      <c r="Q673" s="7"/>
      <c r="R673" s="7"/>
      <c r="S673" s="7"/>
    </row>
    <row r="674" spans="4:19" ht="14" x14ac:dyDescent="0.2">
      <c r="D674" s="5"/>
      <c r="E674" s="5"/>
      <c r="L674" s="5"/>
      <c r="Q674" s="7"/>
      <c r="R674" s="7"/>
      <c r="S674" s="7"/>
    </row>
    <row r="675" spans="4:19" ht="14" x14ac:dyDescent="0.2">
      <c r="D675" s="5"/>
      <c r="E675" s="5"/>
      <c r="L675" s="5"/>
      <c r="Q675" s="7"/>
      <c r="R675" s="7"/>
      <c r="S675" s="7"/>
    </row>
    <row r="676" spans="4:19" ht="14" x14ac:dyDescent="0.2">
      <c r="D676" s="5"/>
      <c r="E676" s="5"/>
      <c r="L676" s="5"/>
      <c r="Q676" s="7"/>
      <c r="R676" s="7"/>
      <c r="S676" s="7"/>
    </row>
    <row r="677" spans="4:19" ht="14" x14ac:dyDescent="0.2">
      <c r="D677" s="5"/>
      <c r="E677" s="5"/>
      <c r="L677" s="5"/>
      <c r="Q677" s="7"/>
      <c r="R677" s="7"/>
      <c r="S677" s="7"/>
    </row>
    <row r="678" spans="4:19" ht="14" x14ac:dyDescent="0.2">
      <c r="D678" s="5"/>
      <c r="E678" s="5"/>
      <c r="L678" s="5"/>
      <c r="Q678" s="7"/>
      <c r="R678" s="7"/>
      <c r="S678" s="7"/>
    </row>
    <row r="679" spans="4:19" ht="14" x14ac:dyDescent="0.2">
      <c r="D679" s="5"/>
      <c r="E679" s="5"/>
      <c r="L679" s="5"/>
      <c r="Q679" s="7"/>
      <c r="R679" s="7"/>
      <c r="S679" s="7"/>
    </row>
    <row r="680" spans="4:19" ht="14" x14ac:dyDescent="0.2">
      <c r="D680" s="5"/>
      <c r="E680" s="5"/>
      <c r="L680" s="5"/>
      <c r="Q680" s="7"/>
      <c r="R680" s="7"/>
      <c r="S680" s="7"/>
    </row>
    <row r="681" spans="4:19" ht="14" x14ac:dyDescent="0.2">
      <c r="D681" s="5"/>
      <c r="E681" s="5"/>
      <c r="L681" s="5"/>
      <c r="Q681" s="7"/>
      <c r="R681" s="7"/>
      <c r="S681" s="7"/>
    </row>
    <row r="682" spans="4:19" ht="14" x14ac:dyDescent="0.2">
      <c r="D682" s="5"/>
      <c r="E682" s="5"/>
      <c r="L682" s="5"/>
      <c r="Q682" s="7"/>
      <c r="R682" s="7"/>
      <c r="S682" s="7"/>
    </row>
    <row r="683" spans="4:19" ht="14" x14ac:dyDescent="0.2">
      <c r="D683" s="5"/>
      <c r="E683" s="5"/>
      <c r="L683" s="5"/>
      <c r="Q683" s="7"/>
      <c r="R683" s="7"/>
      <c r="S683" s="7"/>
    </row>
    <row r="684" spans="4:19" ht="14" x14ac:dyDescent="0.2">
      <c r="D684" s="5"/>
      <c r="E684" s="5"/>
      <c r="L684" s="5"/>
      <c r="Q684" s="7"/>
      <c r="R684" s="7"/>
      <c r="S684" s="7"/>
    </row>
    <row r="685" spans="4:19" ht="14" x14ac:dyDescent="0.2">
      <c r="D685" s="5"/>
      <c r="E685" s="5"/>
      <c r="L685" s="5"/>
      <c r="Q685" s="7"/>
      <c r="R685" s="7"/>
      <c r="S685" s="7"/>
    </row>
    <row r="686" spans="4:19" ht="14" x14ac:dyDescent="0.2">
      <c r="D686" s="5"/>
      <c r="E686" s="5"/>
      <c r="L686" s="5"/>
      <c r="Q686" s="7"/>
      <c r="R686" s="7"/>
      <c r="S686" s="7"/>
    </row>
    <row r="687" spans="4:19" ht="14" x14ac:dyDescent="0.2">
      <c r="D687" s="5"/>
      <c r="E687" s="5"/>
      <c r="L687" s="5"/>
      <c r="Q687" s="7"/>
      <c r="R687" s="7"/>
      <c r="S687" s="7"/>
    </row>
    <row r="688" spans="4:19" ht="14" x14ac:dyDescent="0.2">
      <c r="D688" s="5"/>
      <c r="E688" s="5"/>
      <c r="L688" s="5"/>
      <c r="Q688" s="7"/>
      <c r="R688" s="7"/>
      <c r="S688" s="7"/>
    </row>
    <row r="689" spans="4:19" ht="14" x14ac:dyDescent="0.2">
      <c r="D689" s="5"/>
      <c r="E689" s="5"/>
      <c r="L689" s="5"/>
      <c r="Q689" s="7"/>
      <c r="R689" s="7"/>
      <c r="S689" s="7"/>
    </row>
    <row r="690" spans="4:19" ht="14" x14ac:dyDescent="0.2">
      <c r="D690" s="5"/>
      <c r="E690" s="5"/>
      <c r="L690" s="5"/>
      <c r="Q690" s="7"/>
      <c r="R690" s="7"/>
      <c r="S690" s="7"/>
    </row>
    <row r="691" spans="4:19" ht="14" x14ac:dyDescent="0.2">
      <c r="D691" s="5"/>
      <c r="E691" s="5"/>
      <c r="L691" s="5"/>
      <c r="Q691" s="7"/>
      <c r="R691" s="7"/>
      <c r="S691" s="7"/>
    </row>
    <row r="692" spans="4:19" ht="14" x14ac:dyDescent="0.2">
      <c r="D692" s="5"/>
      <c r="E692" s="5"/>
      <c r="L692" s="5"/>
      <c r="Q692" s="7"/>
      <c r="R692" s="7"/>
      <c r="S692" s="7"/>
    </row>
    <row r="693" spans="4:19" ht="14" x14ac:dyDescent="0.2">
      <c r="D693" s="5"/>
      <c r="E693" s="5"/>
      <c r="L693" s="5"/>
      <c r="Q693" s="7"/>
      <c r="R693" s="7"/>
      <c r="S693" s="7"/>
    </row>
    <row r="694" spans="4:19" ht="14" x14ac:dyDescent="0.2">
      <c r="D694" s="5"/>
      <c r="E694" s="5"/>
      <c r="L694" s="5"/>
      <c r="Q694" s="7"/>
      <c r="R694" s="7"/>
      <c r="S694" s="7"/>
    </row>
    <row r="695" spans="4:19" ht="14" x14ac:dyDescent="0.2">
      <c r="D695" s="5"/>
      <c r="E695" s="5"/>
      <c r="L695" s="5"/>
      <c r="Q695" s="7"/>
      <c r="R695" s="7"/>
      <c r="S695" s="7"/>
    </row>
    <row r="696" spans="4:19" ht="14" x14ac:dyDescent="0.2">
      <c r="D696" s="5"/>
      <c r="E696" s="5"/>
      <c r="L696" s="5"/>
      <c r="Q696" s="7"/>
      <c r="R696" s="7"/>
      <c r="S696" s="7"/>
    </row>
    <row r="697" spans="4:19" ht="14" x14ac:dyDescent="0.2">
      <c r="D697" s="5"/>
      <c r="E697" s="5"/>
      <c r="L697" s="5"/>
      <c r="Q697" s="7"/>
      <c r="R697" s="7"/>
      <c r="S697" s="7"/>
    </row>
    <row r="698" spans="4:19" ht="14" x14ac:dyDescent="0.2">
      <c r="D698" s="5"/>
      <c r="E698" s="5"/>
      <c r="L698" s="5"/>
      <c r="Q698" s="7"/>
      <c r="R698" s="7"/>
      <c r="S698" s="7"/>
    </row>
    <row r="699" spans="4:19" ht="14" x14ac:dyDescent="0.2">
      <c r="D699" s="5"/>
      <c r="E699" s="5"/>
      <c r="L699" s="5"/>
      <c r="Q699" s="7"/>
      <c r="R699" s="7"/>
      <c r="S699" s="7"/>
    </row>
    <row r="700" spans="4:19" ht="14" x14ac:dyDescent="0.2">
      <c r="D700" s="5"/>
      <c r="E700" s="5"/>
      <c r="L700" s="5"/>
      <c r="Q700" s="7"/>
      <c r="R700" s="7"/>
      <c r="S700" s="7"/>
    </row>
    <row r="701" spans="4:19" ht="14" x14ac:dyDescent="0.2">
      <c r="D701" s="5"/>
      <c r="E701" s="5"/>
      <c r="L701" s="5"/>
      <c r="Q701" s="7"/>
      <c r="R701" s="7"/>
      <c r="S701" s="7"/>
    </row>
    <row r="702" spans="4:19" ht="14" x14ac:dyDescent="0.2">
      <c r="D702" s="5"/>
      <c r="E702" s="5"/>
      <c r="L702" s="5"/>
      <c r="Q702" s="7"/>
      <c r="R702" s="7"/>
      <c r="S702" s="7"/>
    </row>
    <row r="703" spans="4:19" ht="14" x14ac:dyDescent="0.2">
      <c r="D703" s="5"/>
      <c r="E703" s="5"/>
      <c r="L703" s="5"/>
      <c r="Q703" s="7"/>
      <c r="R703" s="7"/>
      <c r="S703" s="7"/>
    </row>
    <row r="704" spans="4:19" ht="14" x14ac:dyDescent="0.2">
      <c r="D704" s="5"/>
      <c r="E704" s="5"/>
      <c r="L704" s="5"/>
      <c r="Q704" s="7"/>
      <c r="R704" s="7"/>
      <c r="S704" s="7"/>
    </row>
    <row r="705" spans="4:19" ht="14" x14ac:dyDescent="0.2">
      <c r="D705" s="5"/>
      <c r="E705" s="5"/>
      <c r="L705" s="5"/>
      <c r="Q705" s="7"/>
      <c r="R705" s="7"/>
      <c r="S705" s="7"/>
    </row>
    <row r="706" spans="4:19" ht="14" x14ac:dyDescent="0.2">
      <c r="D706" s="5"/>
      <c r="E706" s="5"/>
      <c r="L706" s="5"/>
      <c r="Q706" s="7"/>
      <c r="R706" s="7"/>
      <c r="S706" s="7"/>
    </row>
    <row r="707" spans="4:19" ht="14" x14ac:dyDescent="0.2">
      <c r="D707" s="5"/>
      <c r="E707" s="5"/>
      <c r="L707" s="5"/>
      <c r="Q707" s="7"/>
      <c r="R707" s="7"/>
      <c r="S707" s="7"/>
    </row>
    <row r="708" spans="4:19" ht="14" x14ac:dyDescent="0.2">
      <c r="D708" s="5"/>
      <c r="E708" s="5"/>
      <c r="L708" s="5"/>
      <c r="Q708" s="7"/>
      <c r="R708" s="7"/>
      <c r="S708" s="7"/>
    </row>
    <row r="709" spans="4:19" ht="14" x14ac:dyDescent="0.2">
      <c r="D709" s="5"/>
      <c r="E709" s="5"/>
      <c r="L709" s="5"/>
      <c r="Q709" s="7"/>
      <c r="R709" s="7"/>
      <c r="S709" s="7"/>
    </row>
    <row r="710" spans="4:19" ht="14" x14ac:dyDescent="0.2">
      <c r="D710" s="5"/>
      <c r="E710" s="5"/>
      <c r="L710" s="5"/>
      <c r="Q710" s="7"/>
      <c r="R710" s="7"/>
      <c r="S710" s="7"/>
    </row>
    <row r="711" spans="4:19" ht="14" x14ac:dyDescent="0.2">
      <c r="D711" s="5"/>
      <c r="E711" s="5"/>
      <c r="L711" s="5"/>
      <c r="Q711" s="7"/>
      <c r="R711" s="7"/>
      <c r="S711" s="7"/>
    </row>
    <row r="712" spans="4:19" ht="14" x14ac:dyDescent="0.2">
      <c r="D712" s="5"/>
      <c r="E712" s="5"/>
      <c r="L712" s="5"/>
      <c r="Q712" s="7"/>
      <c r="R712" s="7"/>
      <c r="S712" s="7"/>
    </row>
    <row r="713" spans="4:19" ht="14" x14ac:dyDescent="0.2">
      <c r="D713" s="5"/>
      <c r="E713" s="5"/>
      <c r="L713" s="5"/>
      <c r="Q713" s="7"/>
      <c r="R713" s="7"/>
      <c r="S713" s="7"/>
    </row>
    <row r="714" spans="4:19" ht="14" x14ac:dyDescent="0.2">
      <c r="D714" s="5"/>
      <c r="E714" s="5"/>
      <c r="L714" s="5"/>
      <c r="Q714" s="7"/>
      <c r="R714" s="7"/>
      <c r="S714" s="7"/>
    </row>
    <row r="715" spans="4:19" ht="14" x14ac:dyDescent="0.2">
      <c r="D715" s="5"/>
      <c r="E715" s="5"/>
      <c r="L715" s="5"/>
      <c r="Q715" s="7"/>
      <c r="R715" s="7"/>
      <c r="S715" s="7"/>
    </row>
    <row r="716" spans="4:19" ht="14" x14ac:dyDescent="0.2">
      <c r="D716" s="5"/>
      <c r="E716" s="5"/>
      <c r="L716" s="5"/>
      <c r="Q716" s="7"/>
      <c r="R716" s="7"/>
      <c r="S716" s="7"/>
    </row>
    <row r="717" spans="4:19" ht="14" x14ac:dyDescent="0.2">
      <c r="D717" s="5"/>
      <c r="E717" s="5"/>
      <c r="L717" s="5"/>
      <c r="Q717" s="7"/>
      <c r="R717" s="7"/>
      <c r="S717" s="7"/>
    </row>
    <row r="718" spans="4:19" ht="14" x14ac:dyDescent="0.2">
      <c r="D718" s="5"/>
      <c r="E718" s="5"/>
      <c r="L718" s="5"/>
      <c r="Q718" s="7"/>
      <c r="R718" s="7"/>
      <c r="S718" s="7"/>
    </row>
    <row r="719" spans="4:19" ht="14" x14ac:dyDescent="0.2">
      <c r="D719" s="5"/>
      <c r="E719" s="5"/>
      <c r="L719" s="5"/>
      <c r="Q719" s="7"/>
      <c r="R719" s="7"/>
      <c r="S719" s="7"/>
    </row>
    <row r="720" spans="4:19" ht="14" x14ac:dyDescent="0.2">
      <c r="D720" s="5"/>
      <c r="E720" s="5"/>
      <c r="L720" s="5"/>
      <c r="Q720" s="7"/>
      <c r="R720" s="7"/>
      <c r="S720" s="7"/>
    </row>
    <row r="721" spans="4:19" ht="14" x14ac:dyDescent="0.2">
      <c r="D721" s="5"/>
      <c r="E721" s="5"/>
      <c r="L721" s="5"/>
      <c r="Q721" s="7"/>
      <c r="R721" s="7"/>
      <c r="S721" s="7"/>
    </row>
    <row r="722" spans="4:19" ht="14" x14ac:dyDescent="0.2">
      <c r="D722" s="5"/>
      <c r="E722" s="5"/>
      <c r="L722" s="5"/>
      <c r="Q722" s="7"/>
      <c r="R722" s="7"/>
      <c r="S722" s="7"/>
    </row>
    <row r="723" spans="4:19" ht="14" x14ac:dyDescent="0.2">
      <c r="D723" s="5"/>
      <c r="E723" s="5"/>
      <c r="L723" s="5"/>
      <c r="Q723" s="7"/>
      <c r="R723" s="7"/>
      <c r="S723" s="7"/>
    </row>
    <row r="724" spans="4:19" ht="14" x14ac:dyDescent="0.2">
      <c r="D724" s="5"/>
      <c r="E724" s="5"/>
      <c r="L724" s="5"/>
      <c r="Q724" s="7"/>
      <c r="R724" s="7"/>
      <c r="S724" s="7"/>
    </row>
    <row r="725" spans="4:19" ht="14" x14ac:dyDescent="0.2">
      <c r="D725" s="14"/>
      <c r="E725" s="14"/>
      <c r="L725" s="5"/>
      <c r="Q725" s="7"/>
      <c r="R725" s="7"/>
      <c r="S725" s="7"/>
    </row>
    <row r="726" spans="4:19" ht="14" x14ac:dyDescent="0.2">
      <c r="D726" s="5"/>
      <c r="E726" s="5"/>
      <c r="L726" s="5"/>
      <c r="Q726" s="7"/>
      <c r="R726" s="7"/>
      <c r="S726" s="7"/>
    </row>
    <row r="727" spans="4:19" ht="14" x14ac:dyDescent="0.2">
      <c r="D727" s="5"/>
      <c r="E727" s="5"/>
      <c r="L727" s="5"/>
      <c r="Q727" s="7"/>
      <c r="R727" s="7"/>
      <c r="S727" s="7"/>
    </row>
    <row r="728" spans="4:19" ht="14" x14ac:dyDescent="0.2">
      <c r="D728" s="5"/>
      <c r="E728" s="5"/>
      <c r="L728" s="5"/>
      <c r="Q728" s="7"/>
      <c r="R728" s="7"/>
      <c r="S728" s="7"/>
    </row>
    <row r="729" spans="4:19" ht="14" x14ac:dyDescent="0.2">
      <c r="D729" s="5"/>
      <c r="E729" s="5"/>
      <c r="L729" s="5"/>
      <c r="Q729" s="7"/>
      <c r="R729" s="7"/>
      <c r="S729" s="7"/>
    </row>
    <row r="730" spans="4:19" ht="14" x14ac:dyDescent="0.2">
      <c r="D730" s="5"/>
      <c r="E730" s="5"/>
      <c r="L730" s="5"/>
      <c r="Q730" s="7"/>
      <c r="R730" s="7"/>
      <c r="S730" s="7"/>
    </row>
    <row r="731" spans="4:19" ht="14" x14ac:dyDescent="0.2">
      <c r="D731" s="5"/>
      <c r="E731" s="5"/>
      <c r="L731" s="5"/>
      <c r="Q731" s="7"/>
      <c r="R731" s="7"/>
      <c r="S731" s="7"/>
    </row>
    <row r="732" spans="4:19" ht="14" x14ac:dyDescent="0.2">
      <c r="D732" s="5"/>
      <c r="E732" s="5"/>
      <c r="L732" s="5"/>
      <c r="Q732" s="7"/>
      <c r="R732" s="7"/>
      <c r="S732" s="7"/>
    </row>
    <row r="733" spans="4:19" ht="14" x14ac:dyDescent="0.2">
      <c r="D733" s="5"/>
      <c r="E733" s="5"/>
      <c r="L733" s="5"/>
      <c r="Q733" s="7"/>
      <c r="R733" s="7"/>
      <c r="S733" s="7"/>
    </row>
    <row r="734" spans="4:19" ht="14" x14ac:dyDescent="0.2">
      <c r="D734" s="5"/>
      <c r="E734" s="5"/>
      <c r="L734" s="5"/>
      <c r="Q734" s="7"/>
      <c r="R734" s="7"/>
      <c r="S734" s="7"/>
    </row>
    <row r="735" spans="4:19" ht="14" x14ac:dyDescent="0.2">
      <c r="D735" s="5"/>
      <c r="E735" s="5"/>
      <c r="L735" s="5"/>
      <c r="Q735" s="7"/>
      <c r="R735" s="7"/>
      <c r="S735" s="7"/>
    </row>
    <row r="736" spans="4:19" ht="14" x14ac:dyDescent="0.2">
      <c r="D736" s="5"/>
      <c r="E736" s="5"/>
      <c r="L736" s="5"/>
      <c r="Q736" s="7"/>
      <c r="R736" s="7"/>
      <c r="S736" s="7"/>
    </row>
    <row r="737" spans="4:19" ht="14" x14ac:dyDescent="0.2">
      <c r="D737" s="5"/>
      <c r="E737" s="5"/>
      <c r="L737" s="5"/>
      <c r="Q737" s="7"/>
      <c r="R737" s="7"/>
      <c r="S737" s="7"/>
    </row>
    <row r="738" spans="4:19" ht="14" x14ac:dyDescent="0.2">
      <c r="D738" s="5"/>
      <c r="E738" s="5"/>
      <c r="L738" s="5"/>
      <c r="Q738" s="7"/>
      <c r="R738" s="7"/>
      <c r="S738" s="7"/>
    </row>
    <row r="739" spans="4:19" ht="14" x14ac:dyDescent="0.2">
      <c r="D739" s="5"/>
      <c r="E739" s="5"/>
      <c r="L739" s="5"/>
      <c r="Q739" s="7"/>
      <c r="R739" s="7"/>
      <c r="S739" s="7"/>
    </row>
    <row r="740" spans="4:19" ht="14" x14ac:dyDescent="0.2">
      <c r="D740" s="5"/>
      <c r="E740" s="5"/>
      <c r="L740" s="5"/>
      <c r="Q740" s="7"/>
      <c r="R740" s="7"/>
      <c r="S740" s="7"/>
    </row>
    <row r="741" spans="4:19" ht="14" x14ac:dyDescent="0.2">
      <c r="D741" s="5"/>
      <c r="E741" s="5"/>
      <c r="L741" s="5"/>
      <c r="Q741" s="7"/>
      <c r="R741" s="7"/>
      <c r="S741" s="7"/>
    </row>
    <row r="742" spans="4:19" ht="14" x14ac:dyDescent="0.2">
      <c r="D742" s="5"/>
      <c r="E742" s="5"/>
      <c r="L742" s="5"/>
      <c r="Q742" s="7"/>
      <c r="R742" s="7"/>
      <c r="S742" s="7"/>
    </row>
    <row r="743" spans="4:19" ht="14" x14ac:dyDescent="0.2">
      <c r="D743" s="5"/>
      <c r="E743" s="5"/>
      <c r="L743" s="5"/>
      <c r="Q743" s="7"/>
      <c r="R743" s="7"/>
      <c r="S743" s="7"/>
    </row>
    <row r="744" spans="4:19" ht="14" x14ac:dyDescent="0.2">
      <c r="D744" s="5"/>
      <c r="E744" s="5"/>
      <c r="L744" s="5"/>
      <c r="Q744" s="7"/>
      <c r="R744" s="7"/>
      <c r="S744" s="7"/>
    </row>
    <row r="745" spans="4:19" ht="14" x14ac:dyDescent="0.2">
      <c r="D745" s="5"/>
      <c r="E745" s="5"/>
      <c r="L745" s="5"/>
      <c r="Q745" s="7"/>
      <c r="R745" s="7"/>
      <c r="S745" s="7"/>
    </row>
    <row r="746" spans="4:19" ht="14" x14ac:dyDescent="0.2">
      <c r="D746" s="5"/>
      <c r="E746" s="5"/>
      <c r="L746" s="5"/>
      <c r="Q746" s="7"/>
      <c r="R746" s="7"/>
      <c r="S746" s="7"/>
    </row>
    <row r="747" spans="4:19" ht="14" x14ac:dyDescent="0.2">
      <c r="D747" s="5"/>
      <c r="E747" s="5"/>
      <c r="L747" s="5"/>
      <c r="Q747" s="7"/>
      <c r="R747" s="7"/>
      <c r="S747" s="7"/>
    </row>
    <row r="748" spans="4:19" ht="14" x14ac:dyDescent="0.2">
      <c r="D748" s="5"/>
      <c r="E748" s="5"/>
      <c r="L748" s="5"/>
      <c r="Q748" s="7"/>
      <c r="R748" s="7"/>
      <c r="S748" s="7"/>
    </row>
    <row r="749" spans="4:19" ht="14" x14ac:dyDescent="0.2">
      <c r="D749" s="5"/>
      <c r="E749" s="5"/>
      <c r="L749" s="5"/>
      <c r="Q749" s="7"/>
      <c r="R749" s="7"/>
      <c r="S749" s="7"/>
    </row>
    <row r="750" spans="4:19" ht="14" x14ac:dyDescent="0.2">
      <c r="D750" s="5"/>
      <c r="E750" s="5"/>
      <c r="L750" s="5"/>
      <c r="Q750" s="7"/>
      <c r="R750" s="7"/>
      <c r="S750" s="7"/>
    </row>
    <row r="751" spans="4:19" ht="14" x14ac:dyDescent="0.2">
      <c r="D751" s="5"/>
      <c r="E751" s="5"/>
      <c r="L751" s="5"/>
      <c r="Q751" s="7"/>
      <c r="R751" s="7"/>
      <c r="S751" s="7"/>
    </row>
    <row r="752" spans="4:19" ht="14" x14ac:dyDescent="0.2">
      <c r="D752" s="5"/>
      <c r="E752" s="5"/>
      <c r="L752" s="5"/>
      <c r="Q752" s="7"/>
      <c r="R752" s="7"/>
      <c r="S752" s="7"/>
    </row>
    <row r="753" spans="4:19" ht="14" x14ac:dyDescent="0.2">
      <c r="D753" s="5"/>
      <c r="E753" s="5"/>
      <c r="L753" s="5"/>
      <c r="Q753" s="7"/>
      <c r="R753" s="7"/>
      <c r="S753" s="7"/>
    </row>
    <row r="754" spans="4:19" ht="14" x14ac:dyDescent="0.2">
      <c r="D754" s="5"/>
      <c r="E754" s="5"/>
      <c r="L754" s="5"/>
      <c r="Q754" s="7"/>
      <c r="R754" s="7"/>
      <c r="S754" s="7"/>
    </row>
    <row r="755" spans="4:19" ht="14" x14ac:dyDescent="0.2">
      <c r="D755" s="5"/>
      <c r="E755" s="5"/>
      <c r="L755" s="5"/>
      <c r="Q755" s="7"/>
      <c r="R755" s="7"/>
      <c r="S755" s="7"/>
    </row>
    <row r="756" spans="4:19" ht="14" x14ac:dyDescent="0.2">
      <c r="D756" s="5"/>
      <c r="E756" s="5"/>
      <c r="L756" s="5"/>
      <c r="Q756" s="7"/>
      <c r="R756" s="7"/>
      <c r="S756" s="7"/>
    </row>
    <row r="757" spans="4:19" ht="14" x14ac:dyDescent="0.2">
      <c r="D757" s="5"/>
      <c r="E757" s="5"/>
      <c r="L757" s="5"/>
      <c r="Q757" s="7"/>
      <c r="R757" s="7"/>
      <c r="S757" s="7"/>
    </row>
    <row r="758" spans="4:19" ht="14" x14ac:dyDescent="0.2">
      <c r="D758" s="5"/>
      <c r="E758" s="5"/>
      <c r="L758" s="5"/>
      <c r="Q758" s="7"/>
      <c r="R758" s="7"/>
      <c r="S758" s="7"/>
    </row>
    <row r="759" spans="4:19" ht="14" x14ac:dyDescent="0.2">
      <c r="D759" s="5"/>
      <c r="E759" s="5"/>
      <c r="L759" s="5"/>
      <c r="Q759" s="7"/>
      <c r="R759" s="7"/>
      <c r="S759" s="7"/>
    </row>
    <row r="760" spans="4:19" ht="14" x14ac:dyDescent="0.2">
      <c r="D760" s="5"/>
      <c r="E760" s="5"/>
      <c r="L760" s="5"/>
      <c r="Q760" s="7"/>
      <c r="R760" s="7"/>
      <c r="S760" s="7"/>
    </row>
    <row r="761" spans="4:19" ht="14" x14ac:dyDescent="0.2">
      <c r="D761" s="5"/>
      <c r="E761" s="5"/>
      <c r="L761" s="5"/>
      <c r="Q761" s="7"/>
      <c r="R761" s="7"/>
      <c r="S761" s="7"/>
    </row>
    <row r="762" spans="4:19" ht="14" x14ac:dyDescent="0.2">
      <c r="D762" s="5"/>
      <c r="E762" s="5"/>
      <c r="L762" s="5"/>
      <c r="Q762" s="7"/>
      <c r="R762" s="7"/>
      <c r="S762" s="7"/>
    </row>
    <row r="763" spans="4:19" ht="14" x14ac:dyDescent="0.2">
      <c r="D763" s="5"/>
      <c r="E763" s="5"/>
      <c r="L763" s="5"/>
      <c r="Q763" s="7"/>
      <c r="R763" s="7"/>
      <c r="S763" s="7"/>
    </row>
    <row r="764" spans="4:19" ht="14" x14ac:dyDescent="0.2">
      <c r="D764" s="5"/>
      <c r="E764" s="5"/>
      <c r="L764" s="5"/>
      <c r="Q764" s="7"/>
      <c r="R764" s="7"/>
      <c r="S764" s="7"/>
    </row>
    <row r="765" spans="4:19" ht="14" x14ac:dyDescent="0.2">
      <c r="D765" s="5"/>
      <c r="E765" s="5"/>
      <c r="L765" s="5"/>
      <c r="Q765" s="7"/>
      <c r="R765" s="7"/>
      <c r="S765" s="7"/>
    </row>
    <row r="766" spans="4:19" ht="14" x14ac:dyDescent="0.2">
      <c r="D766" s="5"/>
      <c r="E766" s="5"/>
      <c r="L766" s="5"/>
      <c r="Q766" s="7"/>
      <c r="R766" s="7"/>
      <c r="S766" s="7"/>
    </row>
    <row r="767" spans="4:19" ht="14" x14ac:dyDescent="0.2">
      <c r="D767" s="5"/>
      <c r="E767" s="5"/>
      <c r="L767" s="5"/>
      <c r="Q767" s="7"/>
      <c r="R767" s="7"/>
      <c r="S767" s="7"/>
    </row>
    <row r="768" spans="4:19" ht="14" x14ac:dyDescent="0.2">
      <c r="D768" s="5"/>
      <c r="E768" s="5"/>
      <c r="L768" s="5"/>
      <c r="Q768" s="7"/>
      <c r="R768" s="7"/>
      <c r="S768" s="7"/>
    </row>
    <row r="769" spans="4:19" ht="14" x14ac:dyDescent="0.2">
      <c r="D769" s="5"/>
      <c r="E769" s="5"/>
      <c r="L769" s="5"/>
      <c r="Q769" s="7"/>
      <c r="R769" s="7"/>
      <c r="S769" s="7"/>
    </row>
    <row r="770" spans="4:19" ht="14" x14ac:dyDescent="0.2">
      <c r="D770" s="5"/>
      <c r="E770" s="5"/>
      <c r="L770" s="5"/>
      <c r="Q770" s="7"/>
      <c r="R770" s="7"/>
      <c r="S770" s="7"/>
    </row>
    <row r="771" spans="4:19" ht="14" x14ac:dyDescent="0.2">
      <c r="D771" s="5"/>
      <c r="E771" s="5"/>
      <c r="L771" s="5"/>
      <c r="Q771" s="7"/>
      <c r="R771" s="7"/>
      <c r="S771" s="7"/>
    </row>
    <row r="772" spans="4:19" ht="14" x14ac:dyDescent="0.2">
      <c r="D772" s="5"/>
      <c r="E772" s="5"/>
      <c r="L772" s="5"/>
      <c r="Q772" s="7"/>
      <c r="R772" s="7"/>
      <c r="S772" s="7"/>
    </row>
    <row r="773" spans="4:19" ht="14" x14ac:dyDescent="0.2">
      <c r="D773" s="5"/>
      <c r="E773" s="5"/>
      <c r="L773" s="5"/>
      <c r="Q773" s="7"/>
      <c r="R773" s="7"/>
      <c r="S773" s="7"/>
    </row>
    <row r="774" spans="4:19" ht="14" x14ac:dyDescent="0.2">
      <c r="D774" s="5"/>
      <c r="E774" s="5"/>
      <c r="L774" s="5"/>
      <c r="Q774" s="7"/>
      <c r="R774" s="7"/>
      <c r="S774" s="7"/>
    </row>
    <row r="775" spans="4:19" ht="14" x14ac:dyDescent="0.2">
      <c r="D775" s="5"/>
      <c r="E775" s="5"/>
      <c r="L775" s="5"/>
      <c r="Q775" s="7"/>
      <c r="R775" s="7"/>
      <c r="S775" s="7"/>
    </row>
    <row r="776" spans="4:19" ht="14" x14ac:dyDescent="0.2">
      <c r="D776" s="5"/>
      <c r="E776" s="5"/>
      <c r="L776" s="5"/>
      <c r="Q776" s="7"/>
      <c r="R776" s="7"/>
      <c r="S776" s="7"/>
    </row>
    <row r="777" spans="4:19" ht="14" x14ac:dyDescent="0.2">
      <c r="D777" s="5"/>
      <c r="E777" s="5"/>
      <c r="L777" s="5"/>
      <c r="Q777" s="7"/>
      <c r="R777" s="7"/>
      <c r="S777" s="7"/>
    </row>
    <row r="778" spans="4:19" ht="14" x14ac:dyDescent="0.2">
      <c r="D778" s="5"/>
      <c r="E778" s="5"/>
      <c r="L778" s="5"/>
      <c r="Q778" s="7"/>
      <c r="R778" s="7"/>
      <c r="S778" s="7"/>
    </row>
    <row r="779" spans="4:19" ht="14" x14ac:dyDescent="0.2">
      <c r="D779" s="5"/>
      <c r="E779" s="5"/>
      <c r="L779" s="5"/>
      <c r="Q779" s="7"/>
      <c r="R779" s="7"/>
      <c r="S779" s="7"/>
    </row>
    <row r="780" spans="4:19" ht="14" x14ac:dyDescent="0.2">
      <c r="D780" s="5"/>
      <c r="E780" s="5"/>
      <c r="L780" s="5"/>
      <c r="Q780" s="7"/>
      <c r="R780" s="7"/>
      <c r="S780" s="7"/>
    </row>
    <row r="781" spans="4:19" ht="14" x14ac:dyDescent="0.2">
      <c r="D781" s="5"/>
      <c r="E781" s="5"/>
      <c r="L781" s="5"/>
      <c r="Q781" s="7"/>
      <c r="R781" s="7"/>
      <c r="S781" s="7"/>
    </row>
    <row r="782" spans="4:19" ht="14" x14ac:dyDescent="0.2">
      <c r="D782" s="5"/>
      <c r="E782" s="5"/>
      <c r="L782" s="5"/>
      <c r="Q782" s="7"/>
      <c r="R782" s="7"/>
      <c r="S782" s="7"/>
    </row>
    <row r="783" spans="4:19" ht="14" x14ac:dyDescent="0.2">
      <c r="D783" s="5"/>
      <c r="E783" s="5"/>
      <c r="L783" s="5"/>
      <c r="Q783" s="7"/>
      <c r="R783" s="7"/>
      <c r="S783" s="7"/>
    </row>
    <row r="784" spans="4:19" ht="14" x14ac:dyDescent="0.2">
      <c r="D784" s="5"/>
      <c r="E784" s="5"/>
      <c r="L784" s="5"/>
      <c r="Q784" s="7"/>
      <c r="R784" s="7"/>
      <c r="S784" s="7"/>
    </row>
    <row r="785" spans="4:19" ht="14" x14ac:dyDescent="0.2">
      <c r="D785" s="5"/>
      <c r="E785" s="5"/>
      <c r="L785" s="5"/>
      <c r="Q785" s="7"/>
      <c r="R785" s="7"/>
      <c r="S785" s="7"/>
    </row>
    <row r="786" spans="4:19" ht="14" x14ac:dyDescent="0.2">
      <c r="D786" s="5"/>
      <c r="E786" s="5"/>
      <c r="L786" s="5"/>
      <c r="Q786" s="7"/>
      <c r="R786" s="7"/>
      <c r="S786" s="7"/>
    </row>
    <row r="787" spans="4:19" ht="14" x14ac:dyDescent="0.2">
      <c r="D787" s="5"/>
      <c r="E787" s="5"/>
      <c r="L787" s="5"/>
      <c r="Q787" s="7"/>
      <c r="R787" s="7"/>
      <c r="S787" s="7"/>
    </row>
    <row r="788" spans="4:19" ht="14" x14ac:dyDescent="0.2">
      <c r="D788" s="5"/>
      <c r="E788" s="5"/>
      <c r="L788" s="5"/>
      <c r="Q788" s="7"/>
      <c r="R788" s="7"/>
      <c r="S788" s="7"/>
    </row>
    <row r="789" spans="4:19" ht="14" x14ac:dyDescent="0.2">
      <c r="D789" s="5"/>
      <c r="E789" s="5"/>
      <c r="L789" s="5"/>
      <c r="Q789" s="7"/>
      <c r="R789" s="7"/>
      <c r="S789" s="7"/>
    </row>
    <row r="790" spans="4:19" ht="14" x14ac:dyDescent="0.2">
      <c r="D790" s="5"/>
      <c r="E790" s="5"/>
      <c r="L790" s="5"/>
      <c r="Q790" s="7"/>
      <c r="R790" s="7"/>
      <c r="S790" s="7"/>
    </row>
    <row r="791" spans="4:19" ht="14" x14ac:dyDescent="0.2">
      <c r="D791" s="5"/>
      <c r="E791" s="5"/>
      <c r="L791" s="5"/>
      <c r="Q791" s="7"/>
      <c r="R791" s="7"/>
      <c r="S791" s="7"/>
    </row>
    <row r="792" spans="4:19" ht="14" x14ac:dyDescent="0.2">
      <c r="D792" s="5"/>
      <c r="E792" s="5"/>
      <c r="L792" s="5"/>
      <c r="Q792" s="7"/>
      <c r="R792" s="7"/>
      <c r="S792" s="7"/>
    </row>
    <row r="793" spans="4:19" ht="14" x14ac:dyDescent="0.2">
      <c r="D793" s="5"/>
      <c r="E793" s="5"/>
      <c r="L793" s="5"/>
      <c r="Q793" s="7"/>
      <c r="R793" s="7"/>
      <c r="S793" s="7"/>
    </row>
    <row r="794" spans="4:19" ht="14" x14ac:dyDescent="0.2">
      <c r="D794" s="5"/>
      <c r="E794" s="5"/>
      <c r="L794" s="5"/>
      <c r="Q794" s="7"/>
      <c r="R794" s="7"/>
      <c r="S794" s="7"/>
    </row>
    <row r="795" spans="4:19" ht="14" x14ac:dyDescent="0.2">
      <c r="D795" s="5"/>
      <c r="E795" s="5"/>
      <c r="L795" s="5"/>
      <c r="Q795" s="7"/>
      <c r="R795" s="7"/>
      <c r="S795" s="7"/>
    </row>
    <row r="796" spans="4:19" ht="14" x14ac:dyDescent="0.2">
      <c r="D796" s="5"/>
      <c r="E796" s="5"/>
      <c r="L796" s="5"/>
      <c r="Q796" s="7"/>
      <c r="R796" s="7"/>
      <c r="S796" s="7"/>
    </row>
    <row r="797" spans="4:19" ht="14" x14ac:dyDescent="0.2">
      <c r="D797" s="5"/>
      <c r="E797" s="5"/>
      <c r="L797" s="5"/>
      <c r="Q797" s="7"/>
      <c r="R797" s="7"/>
      <c r="S797" s="7"/>
    </row>
    <row r="798" spans="4:19" ht="14" x14ac:dyDescent="0.2">
      <c r="D798" s="5"/>
      <c r="E798" s="5"/>
      <c r="L798" s="5"/>
      <c r="Q798" s="7"/>
      <c r="R798" s="7"/>
      <c r="S798" s="7"/>
    </row>
    <row r="799" spans="4:19" ht="14" x14ac:dyDescent="0.2">
      <c r="D799" s="5"/>
      <c r="E799" s="5"/>
      <c r="L799" s="5"/>
      <c r="Q799" s="7"/>
      <c r="R799" s="7"/>
      <c r="S799" s="7"/>
    </row>
    <row r="800" spans="4:19" ht="14" x14ac:dyDescent="0.2">
      <c r="D800" s="5"/>
      <c r="E800" s="5"/>
      <c r="L800" s="5"/>
      <c r="Q800" s="7"/>
      <c r="R800" s="7"/>
      <c r="S800" s="7"/>
    </row>
    <row r="801" spans="4:19" ht="14" x14ac:dyDescent="0.2">
      <c r="D801" s="5"/>
      <c r="E801" s="5"/>
      <c r="L801" s="5"/>
      <c r="Q801" s="7"/>
      <c r="R801" s="7"/>
      <c r="S801" s="7"/>
    </row>
    <row r="802" spans="4:19" ht="14" x14ac:dyDescent="0.2">
      <c r="D802" s="5"/>
      <c r="E802" s="5"/>
      <c r="L802" s="5"/>
      <c r="Q802" s="7"/>
      <c r="R802" s="7"/>
      <c r="S802" s="7"/>
    </row>
    <row r="803" spans="4:19" ht="14" x14ac:dyDescent="0.2">
      <c r="D803" s="5"/>
      <c r="E803" s="5"/>
      <c r="L803" s="5"/>
      <c r="Q803" s="7"/>
      <c r="R803" s="7"/>
      <c r="S803" s="7"/>
    </row>
    <row r="804" spans="4:19" ht="14" x14ac:dyDescent="0.2">
      <c r="D804" s="5"/>
      <c r="E804" s="5"/>
      <c r="L804" s="5"/>
      <c r="Q804" s="7"/>
      <c r="R804" s="7"/>
      <c r="S804" s="7"/>
    </row>
    <row r="805" spans="4:19" ht="14" x14ac:dyDescent="0.2">
      <c r="D805" s="5"/>
      <c r="E805" s="5"/>
      <c r="L805" s="5"/>
      <c r="Q805" s="7"/>
      <c r="R805" s="7"/>
      <c r="S805" s="7"/>
    </row>
    <row r="806" spans="4:19" ht="14" x14ac:dyDescent="0.2">
      <c r="D806" s="5"/>
      <c r="E806" s="5"/>
      <c r="L806" s="5"/>
      <c r="Q806" s="7"/>
      <c r="R806" s="7"/>
      <c r="S806" s="7"/>
    </row>
    <row r="807" spans="4:19" ht="14" x14ac:dyDescent="0.2">
      <c r="D807" s="5"/>
      <c r="E807" s="5"/>
      <c r="L807" s="5"/>
      <c r="Q807" s="7"/>
      <c r="R807" s="7"/>
      <c r="S807" s="7"/>
    </row>
    <row r="808" spans="4:19" ht="14" x14ac:dyDescent="0.2">
      <c r="D808" s="5"/>
      <c r="E808" s="5"/>
      <c r="L808" s="5"/>
      <c r="Q808" s="7"/>
      <c r="R808" s="7"/>
      <c r="S808" s="7"/>
    </row>
    <row r="809" spans="4:19" ht="14" x14ac:dyDescent="0.2">
      <c r="D809" s="5"/>
      <c r="E809" s="5"/>
      <c r="L809" s="5"/>
      <c r="Q809" s="7"/>
      <c r="R809" s="7"/>
      <c r="S809" s="7"/>
    </row>
    <row r="810" spans="4:19" ht="14" x14ac:dyDescent="0.2">
      <c r="D810" s="5"/>
      <c r="E810" s="5"/>
      <c r="L810" s="5"/>
      <c r="Q810" s="7"/>
      <c r="R810" s="7"/>
      <c r="S810" s="7"/>
    </row>
    <row r="811" spans="4:19" ht="14" x14ac:dyDescent="0.2">
      <c r="D811" s="5"/>
      <c r="E811" s="5"/>
      <c r="L811" s="5"/>
      <c r="Q811" s="7"/>
      <c r="R811" s="7"/>
      <c r="S811" s="7"/>
    </row>
    <row r="812" spans="4:19" ht="14" x14ac:dyDescent="0.2">
      <c r="D812" s="5"/>
      <c r="E812" s="5"/>
      <c r="L812" s="5"/>
      <c r="Q812" s="7"/>
      <c r="R812" s="7"/>
      <c r="S812" s="7"/>
    </row>
    <row r="813" spans="4:19" ht="14" x14ac:dyDescent="0.2">
      <c r="D813" s="5"/>
      <c r="E813" s="5"/>
      <c r="L813" s="5"/>
      <c r="Q813" s="7"/>
      <c r="R813" s="7"/>
      <c r="S813" s="7"/>
    </row>
    <row r="814" spans="4:19" ht="14" x14ac:dyDescent="0.2">
      <c r="D814" s="5"/>
      <c r="E814" s="5"/>
      <c r="L814" s="5"/>
      <c r="Q814" s="7"/>
      <c r="R814" s="7"/>
      <c r="S814" s="7"/>
    </row>
    <row r="815" spans="4:19" ht="14" x14ac:dyDescent="0.2">
      <c r="D815" s="14"/>
      <c r="E815" s="14"/>
      <c r="L815" s="5"/>
      <c r="Q815" s="7"/>
      <c r="R815" s="7"/>
      <c r="S815" s="7"/>
    </row>
    <row r="816" spans="4:19" ht="14" x14ac:dyDescent="0.2">
      <c r="D816" s="5"/>
      <c r="E816" s="5"/>
      <c r="L816" s="5"/>
      <c r="Q816" s="7"/>
      <c r="R816" s="7"/>
      <c r="S816" s="7"/>
    </row>
    <row r="817" spans="4:19" ht="14" x14ac:dyDescent="0.2">
      <c r="D817" s="5"/>
      <c r="E817" s="5"/>
      <c r="L817" s="5"/>
      <c r="Q817" s="7"/>
      <c r="R817" s="7"/>
      <c r="S817" s="7"/>
    </row>
    <row r="818" spans="4:19" ht="14" x14ac:dyDescent="0.2">
      <c r="D818" s="14"/>
      <c r="E818" s="14"/>
      <c r="L818" s="5"/>
      <c r="Q818" s="7"/>
      <c r="R818" s="7"/>
      <c r="S818" s="7"/>
    </row>
    <row r="819" spans="4:19" ht="14" x14ac:dyDescent="0.2">
      <c r="D819" s="5"/>
      <c r="E819" s="5"/>
      <c r="L819" s="5"/>
      <c r="Q819" s="7"/>
      <c r="R819" s="7"/>
      <c r="S819" s="7"/>
    </row>
    <row r="820" spans="4:19" ht="14" x14ac:dyDescent="0.2">
      <c r="D820" s="5"/>
      <c r="E820" s="5"/>
      <c r="L820" s="5"/>
      <c r="Q820" s="7"/>
      <c r="R820" s="7"/>
      <c r="S820" s="7"/>
    </row>
    <row r="821" spans="4:19" ht="14" x14ac:dyDescent="0.2">
      <c r="D821" s="5"/>
      <c r="E821" s="5"/>
      <c r="L821" s="5"/>
      <c r="Q821" s="7"/>
      <c r="R821" s="7"/>
      <c r="S821" s="7"/>
    </row>
    <row r="822" spans="4:19" ht="14" x14ac:dyDescent="0.2">
      <c r="D822" s="5"/>
      <c r="E822" s="5"/>
      <c r="L822" s="5"/>
      <c r="Q822" s="7"/>
      <c r="R822" s="7"/>
      <c r="S822" s="7"/>
    </row>
    <row r="823" spans="4:19" ht="14" x14ac:dyDescent="0.2">
      <c r="D823" s="5"/>
      <c r="E823" s="5"/>
      <c r="L823" s="5"/>
      <c r="Q823" s="7"/>
      <c r="R823" s="7"/>
      <c r="S823" s="7"/>
    </row>
    <row r="824" spans="4:19" ht="14" x14ac:dyDescent="0.2">
      <c r="D824" s="5"/>
      <c r="E824" s="5"/>
      <c r="L824" s="5"/>
      <c r="Q824" s="7"/>
      <c r="R824" s="7"/>
      <c r="S824" s="7"/>
    </row>
    <row r="825" spans="4:19" ht="14" x14ac:dyDescent="0.2">
      <c r="D825" s="5"/>
      <c r="E825" s="5"/>
      <c r="L825" s="5"/>
      <c r="Q825" s="7"/>
      <c r="R825" s="7"/>
      <c r="S825" s="7"/>
    </row>
    <row r="826" spans="4:19" ht="14" x14ac:dyDescent="0.2">
      <c r="D826" s="5"/>
      <c r="E826" s="5"/>
      <c r="L826" s="5"/>
      <c r="Q826" s="7"/>
      <c r="R826" s="7"/>
      <c r="S826" s="7"/>
    </row>
    <row r="827" spans="4:19" ht="14" x14ac:dyDescent="0.2">
      <c r="D827" s="5"/>
      <c r="E827" s="5"/>
      <c r="L827" s="5"/>
      <c r="Q827" s="7"/>
      <c r="R827" s="7"/>
      <c r="S827" s="7"/>
    </row>
    <row r="828" spans="4:19" ht="14" x14ac:dyDescent="0.2">
      <c r="D828" s="5"/>
      <c r="E828" s="5"/>
      <c r="L828" s="5"/>
      <c r="Q828" s="7"/>
      <c r="R828" s="7"/>
      <c r="S828" s="7"/>
    </row>
    <row r="829" spans="4:19" ht="14" x14ac:dyDescent="0.2">
      <c r="D829" s="5"/>
      <c r="E829" s="5"/>
      <c r="L829" s="5"/>
      <c r="Q829" s="7"/>
      <c r="R829" s="7"/>
      <c r="S829" s="7"/>
    </row>
    <row r="830" spans="4:19" ht="14" x14ac:dyDescent="0.2">
      <c r="D830" s="5"/>
      <c r="E830" s="5"/>
      <c r="L830" s="5"/>
      <c r="Q830" s="7"/>
      <c r="R830" s="7"/>
      <c r="S830" s="7"/>
    </row>
    <row r="831" spans="4:19" ht="14" x14ac:dyDescent="0.2">
      <c r="D831" s="5"/>
      <c r="E831" s="5"/>
      <c r="L831" s="5"/>
      <c r="Q831" s="7"/>
      <c r="R831" s="7"/>
      <c r="S831" s="7"/>
    </row>
    <row r="832" spans="4:19" ht="14" x14ac:dyDescent="0.2">
      <c r="D832" s="5"/>
      <c r="E832" s="5"/>
      <c r="L832" s="5"/>
      <c r="Q832" s="7"/>
      <c r="R832" s="7"/>
      <c r="S832" s="7"/>
    </row>
    <row r="833" spans="4:19" ht="14" x14ac:dyDescent="0.2">
      <c r="D833" s="5"/>
      <c r="E833" s="5"/>
      <c r="L833" s="5"/>
      <c r="Q833" s="7"/>
      <c r="R833" s="7"/>
      <c r="S833" s="7"/>
    </row>
    <row r="834" spans="4:19" ht="14" x14ac:dyDescent="0.2">
      <c r="D834" s="5"/>
      <c r="E834" s="5"/>
      <c r="L834" s="5"/>
      <c r="Q834" s="7"/>
      <c r="R834" s="7"/>
      <c r="S834" s="7"/>
    </row>
    <row r="835" spans="4:19" ht="14" x14ac:dyDescent="0.2">
      <c r="D835" s="5"/>
      <c r="E835" s="5"/>
      <c r="L835" s="5"/>
      <c r="Q835" s="7"/>
      <c r="R835" s="7"/>
      <c r="S835" s="7"/>
    </row>
    <row r="836" spans="4:19" ht="14" x14ac:dyDescent="0.2">
      <c r="D836" s="5"/>
      <c r="E836" s="5"/>
      <c r="L836" s="5"/>
      <c r="Q836" s="7"/>
      <c r="R836" s="7"/>
      <c r="S836" s="7"/>
    </row>
    <row r="837" spans="4:19" ht="14" x14ac:dyDescent="0.2">
      <c r="D837" s="5"/>
      <c r="E837" s="5"/>
      <c r="L837" s="5"/>
      <c r="Q837" s="7"/>
      <c r="R837" s="7"/>
      <c r="S837" s="7"/>
    </row>
    <row r="838" spans="4:19" ht="14" x14ac:dyDescent="0.2">
      <c r="D838" s="5"/>
      <c r="E838" s="5"/>
      <c r="L838" s="5"/>
      <c r="Q838" s="7"/>
      <c r="R838" s="7"/>
      <c r="S838" s="7"/>
    </row>
    <row r="839" spans="4:19" ht="14" x14ac:dyDescent="0.2">
      <c r="D839" s="5"/>
      <c r="E839" s="5"/>
      <c r="L839" s="5"/>
      <c r="Q839" s="7"/>
      <c r="R839" s="7"/>
      <c r="S839" s="7"/>
    </row>
    <row r="840" spans="4:19" ht="14" x14ac:dyDescent="0.2">
      <c r="D840" s="5"/>
      <c r="E840" s="5"/>
      <c r="L840" s="5"/>
      <c r="Q840" s="7"/>
      <c r="R840" s="7"/>
      <c r="S840" s="7"/>
    </row>
    <row r="841" spans="4:19" ht="14" x14ac:dyDescent="0.2">
      <c r="D841" s="5"/>
      <c r="E841" s="5"/>
      <c r="L841" s="5"/>
      <c r="Q841" s="7"/>
      <c r="R841" s="7"/>
      <c r="S841" s="7"/>
    </row>
    <row r="842" spans="4:19" ht="14" x14ac:dyDescent="0.2">
      <c r="D842" s="5"/>
      <c r="E842" s="5"/>
      <c r="L842" s="5"/>
      <c r="Q842" s="7"/>
      <c r="R842" s="7"/>
      <c r="S842" s="7"/>
    </row>
    <row r="843" spans="4:19" ht="14" x14ac:dyDescent="0.2">
      <c r="D843" s="5"/>
      <c r="E843" s="5"/>
      <c r="L843" s="5"/>
      <c r="Q843" s="7"/>
      <c r="R843" s="7"/>
      <c r="S843" s="7"/>
    </row>
    <row r="844" spans="4:19" ht="14" x14ac:dyDescent="0.2">
      <c r="D844" s="5"/>
      <c r="E844" s="5"/>
      <c r="L844" s="5"/>
      <c r="Q844" s="7"/>
      <c r="R844" s="7"/>
      <c r="S844" s="7"/>
    </row>
    <row r="845" spans="4:19" ht="14" x14ac:dyDescent="0.2">
      <c r="D845" s="5"/>
      <c r="E845" s="5"/>
      <c r="L845" s="5"/>
      <c r="Q845" s="7"/>
      <c r="R845" s="7"/>
      <c r="S845" s="7"/>
    </row>
    <row r="846" spans="4:19" ht="14" x14ac:dyDescent="0.2">
      <c r="D846" s="5"/>
      <c r="E846" s="5"/>
      <c r="L846" s="5"/>
      <c r="Q846" s="7"/>
      <c r="R846" s="7"/>
      <c r="S846" s="7"/>
    </row>
    <row r="847" spans="4:19" ht="14" x14ac:dyDescent="0.2">
      <c r="D847" s="5"/>
      <c r="E847" s="5"/>
      <c r="L847" s="5"/>
      <c r="Q847" s="7"/>
      <c r="R847" s="7"/>
      <c r="S847" s="7"/>
    </row>
    <row r="848" spans="4:19" ht="14" x14ac:dyDescent="0.2">
      <c r="D848" s="5"/>
      <c r="E848" s="5"/>
      <c r="L848" s="5"/>
      <c r="Q848" s="7"/>
      <c r="R848" s="7"/>
      <c r="S848" s="7"/>
    </row>
    <row r="849" spans="4:19" ht="14" x14ac:dyDescent="0.2">
      <c r="D849" s="5"/>
      <c r="E849" s="5"/>
      <c r="L849" s="5"/>
      <c r="Q849" s="7"/>
      <c r="R849" s="7"/>
      <c r="S849" s="7"/>
    </row>
    <row r="850" spans="4:19" ht="14" x14ac:dyDescent="0.2">
      <c r="D850" s="5"/>
      <c r="E850" s="5"/>
      <c r="L850" s="5"/>
      <c r="Q850" s="7"/>
      <c r="R850" s="7"/>
      <c r="S850" s="7"/>
    </row>
    <row r="851" spans="4:19" ht="14" x14ac:dyDescent="0.2">
      <c r="D851" s="5"/>
      <c r="E851" s="5"/>
      <c r="L851" s="5"/>
      <c r="Q851" s="7"/>
      <c r="R851" s="7"/>
      <c r="S851" s="7"/>
    </row>
    <row r="852" spans="4:19" ht="14" x14ac:dyDescent="0.2">
      <c r="D852" s="5"/>
      <c r="E852" s="5"/>
      <c r="L852" s="5"/>
      <c r="Q852" s="7"/>
      <c r="R852" s="7"/>
      <c r="S852" s="7"/>
    </row>
    <row r="853" spans="4:19" ht="14" x14ac:dyDescent="0.2">
      <c r="D853" s="5"/>
      <c r="E853" s="5"/>
      <c r="L853" s="5"/>
      <c r="Q853" s="7"/>
      <c r="R853" s="7"/>
      <c r="S853" s="7"/>
    </row>
    <row r="854" spans="4:19" ht="14" x14ac:dyDescent="0.2">
      <c r="D854" s="5"/>
      <c r="E854" s="5"/>
      <c r="L854" s="5"/>
      <c r="Q854" s="7"/>
      <c r="R854" s="7"/>
      <c r="S854" s="7"/>
    </row>
    <row r="855" spans="4:19" ht="14" x14ac:dyDescent="0.2">
      <c r="D855" s="5"/>
      <c r="E855" s="5"/>
      <c r="L855" s="5"/>
      <c r="Q855" s="7"/>
      <c r="R855" s="7"/>
      <c r="S855" s="7"/>
    </row>
    <row r="856" spans="4:19" ht="14" x14ac:dyDescent="0.2">
      <c r="D856" s="5"/>
      <c r="E856" s="5"/>
      <c r="L856" s="5"/>
      <c r="Q856" s="7"/>
      <c r="R856" s="7"/>
      <c r="S856" s="7"/>
    </row>
    <row r="857" spans="4:19" ht="14" x14ac:dyDescent="0.2">
      <c r="D857" s="5"/>
      <c r="E857" s="5"/>
      <c r="L857" s="5"/>
      <c r="Q857" s="7"/>
      <c r="R857" s="7"/>
      <c r="S857" s="7"/>
    </row>
    <row r="858" spans="4:19" ht="14" x14ac:dyDescent="0.2">
      <c r="D858" s="5"/>
      <c r="E858" s="5"/>
      <c r="L858" s="5"/>
      <c r="Q858" s="7"/>
      <c r="R858" s="7"/>
      <c r="S858" s="7"/>
    </row>
    <row r="859" spans="4:19" ht="14" x14ac:dyDescent="0.2">
      <c r="D859" s="5"/>
      <c r="E859" s="5"/>
      <c r="L859" s="5"/>
      <c r="Q859" s="7"/>
      <c r="R859" s="7"/>
      <c r="S859" s="7"/>
    </row>
    <row r="860" spans="4:19" ht="14" x14ac:dyDescent="0.2">
      <c r="D860" s="5"/>
      <c r="E860" s="5"/>
      <c r="L860" s="5"/>
      <c r="Q860" s="7"/>
      <c r="R860" s="7"/>
      <c r="S860" s="7"/>
    </row>
    <row r="861" spans="4:19" ht="14" x14ac:dyDescent="0.2">
      <c r="D861" s="5"/>
      <c r="E861" s="5"/>
      <c r="L861" s="5"/>
      <c r="Q861" s="7"/>
      <c r="R861" s="7"/>
      <c r="S861" s="7"/>
    </row>
    <row r="862" spans="4:19" ht="14" x14ac:dyDescent="0.2">
      <c r="D862" s="5"/>
      <c r="E862" s="5"/>
      <c r="L862" s="5"/>
      <c r="Q862" s="7"/>
      <c r="R862" s="7"/>
      <c r="S862" s="7"/>
    </row>
    <row r="863" spans="4:19" ht="14" x14ac:dyDescent="0.2">
      <c r="D863" s="5"/>
      <c r="E863" s="5"/>
      <c r="L863" s="5"/>
      <c r="Q863" s="7"/>
      <c r="R863" s="7"/>
      <c r="S863" s="7"/>
    </row>
    <row r="864" spans="4:19" ht="14" x14ac:dyDescent="0.2">
      <c r="D864" s="5"/>
      <c r="E864" s="5"/>
      <c r="L864" s="5"/>
      <c r="Q864" s="7"/>
      <c r="R864" s="7"/>
      <c r="S864" s="7"/>
    </row>
    <row r="865" spans="4:19" ht="14" x14ac:dyDescent="0.2">
      <c r="D865" s="5"/>
      <c r="E865" s="5"/>
      <c r="L865" s="5"/>
      <c r="Q865" s="7"/>
      <c r="R865" s="7"/>
      <c r="S865" s="7"/>
    </row>
    <row r="866" spans="4:19" ht="14" x14ac:dyDescent="0.2">
      <c r="D866" s="5"/>
      <c r="E866" s="5"/>
      <c r="L866" s="5"/>
      <c r="Q866" s="7"/>
      <c r="R866" s="7"/>
      <c r="S866" s="7"/>
    </row>
    <row r="867" spans="4:19" ht="14" x14ac:dyDescent="0.2">
      <c r="D867" s="5"/>
      <c r="E867" s="5"/>
      <c r="L867" s="5"/>
      <c r="Q867" s="7"/>
      <c r="R867" s="7"/>
      <c r="S867" s="7"/>
    </row>
    <row r="868" spans="4:19" ht="14" x14ac:dyDescent="0.2">
      <c r="D868" s="5"/>
      <c r="E868" s="5"/>
      <c r="L868" s="5"/>
      <c r="Q868" s="7"/>
      <c r="R868" s="7"/>
      <c r="S868" s="7"/>
    </row>
    <row r="869" spans="4:19" ht="14" x14ac:dyDescent="0.2">
      <c r="D869" s="5"/>
      <c r="E869" s="5"/>
      <c r="L869" s="5"/>
      <c r="Q869" s="7"/>
      <c r="R869" s="7"/>
      <c r="S869" s="7"/>
    </row>
    <row r="870" spans="4:19" ht="14" x14ac:dyDescent="0.2">
      <c r="D870" s="5"/>
      <c r="E870" s="5"/>
      <c r="L870" s="5"/>
      <c r="Q870" s="7"/>
      <c r="R870" s="7"/>
      <c r="S870" s="7"/>
    </row>
    <row r="871" spans="4:19" ht="14" x14ac:dyDescent="0.2">
      <c r="D871" s="5"/>
      <c r="E871" s="5"/>
      <c r="L871" s="5"/>
      <c r="Q871" s="7"/>
      <c r="R871" s="7"/>
      <c r="S871" s="7"/>
    </row>
    <row r="872" spans="4:19" ht="14" x14ac:dyDescent="0.2">
      <c r="D872" s="5"/>
      <c r="E872" s="5"/>
      <c r="L872" s="5"/>
      <c r="Q872" s="7"/>
      <c r="R872" s="7"/>
      <c r="S872" s="7"/>
    </row>
    <row r="873" spans="4:19" ht="14" x14ac:dyDescent="0.2">
      <c r="D873" s="5"/>
      <c r="E873" s="5"/>
      <c r="L873" s="5"/>
      <c r="Q873" s="7"/>
      <c r="R873" s="7"/>
      <c r="S873" s="7"/>
    </row>
    <row r="874" spans="4:19" ht="14" x14ac:dyDescent="0.2">
      <c r="D874" s="5"/>
      <c r="E874" s="5"/>
      <c r="L874" s="5"/>
      <c r="Q874" s="7"/>
      <c r="R874" s="7"/>
      <c r="S874" s="7"/>
    </row>
    <row r="875" spans="4:19" ht="14" x14ac:dyDescent="0.2">
      <c r="D875" s="5"/>
      <c r="E875" s="5"/>
      <c r="L875" s="5"/>
      <c r="Q875" s="7"/>
      <c r="R875" s="7"/>
      <c r="S875" s="7"/>
    </row>
    <row r="876" spans="4:19" ht="14" x14ac:dyDescent="0.2">
      <c r="D876" s="5"/>
      <c r="E876" s="5"/>
      <c r="L876" s="5"/>
      <c r="Q876" s="7"/>
      <c r="R876" s="7"/>
      <c r="S876" s="7"/>
    </row>
    <row r="877" spans="4:19" ht="14" x14ac:dyDescent="0.2">
      <c r="D877" s="5"/>
      <c r="E877" s="5"/>
      <c r="L877" s="5"/>
      <c r="Q877" s="7"/>
      <c r="R877" s="7"/>
      <c r="S877" s="7"/>
    </row>
    <row r="878" spans="4:19" ht="14" x14ac:dyDescent="0.2">
      <c r="D878" s="5"/>
      <c r="E878" s="5"/>
      <c r="L878" s="5"/>
      <c r="Q878" s="7"/>
      <c r="R878" s="7"/>
      <c r="S878" s="7"/>
    </row>
    <row r="879" spans="4:19" ht="14" x14ac:dyDescent="0.2">
      <c r="D879" s="5"/>
      <c r="E879" s="5"/>
      <c r="L879" s="5"/>
      <c r="Q879" s="7"/>
      <c r="R879" s="7"/>
      <c r="S879" s="7"/>
    </row>
    <row r="880" spans="4:19" ht="14" x14ac:dyDescent="0.2">
      <c r="D880" s="5"/>
      <c r="E880" s="5"/>
      <c r="L880" s="5"/>
      <c r="Q880" s="7"/>
      <c r="R880" s="7"/>
      <c r="S880" s="7"/>
    </row>
    <row r="881" spans="4:19" ht="14" x14ac:dyDescent="0.2">
      <c r="D881" s="5"/>
      <c r="E881" s="5"/>
      <c r="L881" s="5"/>
      <c r="Q881" s="7"/>
      <c r="R881" s="7"/>
      <c r="S881" s="7"/>
    </row>
    <row r="882" spans="4:19" ht="14" x14ac:dyDescent="0.2">
      <c r="D882" s="5"/>
      <c r="E882" s="5"/>
      <c r="L882" s="5"/>
      <c r="Q882" s="7"/>
      <c r="R882" s="7"/>
      <c r="S882" s="7"/>
    </row>
    <row r="883" spans="4:19" ht="14" x14ac:dyDescent="0.2">
      <c r="D883" s="5"/>
      <c r="E883" s="5"/>
      <c r="L883" s="5"/>
      <c r="Q883" s="7"/>
      <c r="R883" s="7"/>
      <c r="S883" s="7"/>
    </row>
    <row r="884" spans="4:19" ht="14" x14ac:dyDescent="0.2">
      <c r="D884" s="5"/>
      <c r="E884" s="5"/>
      <c r="L884" s="5"/>
      <c r="Q884" s="7"/>
      <c r="R884" s="7"/>
      <c r="S884" s="7"/>
    </row>
    <row r="885" spans="4:19" ht="14" x14ac:dyDescent="0.2">
      <c r="D885" s="5"/>
      <c r="E885" s="5"/>
      <c r="L885" s="5"/>
      <c r="Q885" s="7"/>
      <c r="R885" s="7"/>
      <c r="S885" s="7"/>
    </row>
    <row r="886" spans="4:19" ht="14" x14ac:dyDescent="0.2">
      <c r="D886" s="5"/>
      <c r="E886" s="5"/>
      <c r="L886" s="5"/>
      <c r="Q886" s="7"/>
      <c r="R886" s="7"/>
      <c r="S886" s="7"/>
    </row>
    <row r="887" spans="4:19" ht="14" x14ac:dyDescent="0.2">
      <c r="D887" s="5"/>
      <c r="E887" s="5"/>
      <c r="L887" s="5"/>
      <c r="Q887" s="7"/>
      <c r="R887" s="7"/>
      <c r="S887" s="7"/>
    </row>
    <row r="888" spans="4:19" ht="14" x14ac:dyDescent="0.2">
      <c r="D888" s="5"/>
      <c r="E888" s="5"/>
      <c r="L888" s="5"/>
      <c r="Q888" s="7"/>
      <c r="R888" s="7"/>
      <c r="S888" s="7"/>
    </row>
    <row r="889" spans="4:19" ht="14" x14ac:dyDescent="0.2">
      <c r="D889" s="5"/>
      <c r="E889" s="5"/>
      <c r="L889" s="5"/>
      <c r="Q889" s="7"/>
      <c r="R889" s="7"/>
      <c r="S889" s="7"/>
    </row>
    <row r="890" spans="4:19" ht="14" x14ac:dyDescent="0.2">
      <c r="D890" s="5"/>
      <c r="E890" s="5"/>
      <c r="L890" s="5"/>
      <c r="Q890" s="7"/>
      <c r="R890" s="7"/>
      <c r="S890" s="7"/>
    </row>
    <row r="891" spans="4:19" ht="14" x14ac:dyDescent="0.2">
      <c r="D891" s="5"/>
      <c r="E891" s="5"/>
      <c r="L891" s="5"/>
      <c r="Q891" s="7"/>
      <c r="R891" s="7"/>
      <c r="S891" s="7"/>
    </row>
    <row r="892" spans="4:19" ht="14" x14ac:dyDescent="0.2">
      <c r="D892" s="5"/>
      <c r="E892" s="5"/>
      <c r="L892" s="5"/>
      <c r="Q892" s="7"/>
      <c r="R892" s="7"/>
      <c r="S892" s="7"/>
    </row>
    <row r="893" spans="4:19" ht="14" x14ac:dyDescent="0.2">
      <c r="D893" s="5"/>
      <c r="E893" s="5"/>
      <c r="L893" s="5"/>
      <c r="Q893" s="7"/>
      <c r="R893" s="7"/>
      <c r="S893" s="7"/>
    </row>
    <row r="894" spans="4:19" ht="14" x14ac:dyDescent="0.2">
      <c r="D894" s="5"/>
      <c r="E894" s="5"/>
      <c r="L894" s="5"/>
      <c r="Q894" s="7"/>
      <c r="R894" s="7"/>
      <c r="S894" s="7"/>
    </row>
    <row r="895" spans="4:19" ht="14" x14ac:dyDescent="0.2">
      <c r="D895" s="5"/>
      <c r="E895" s="5"/>
      <c r="L895" s="5"/>
      <c r="Q895" s="7"/>
      <c r="R895" s="7"/>
      <c r="S895" s="7"/>
    </row>
    <row r="896" spans="4:19" ht="14" x14ac:dyDescent="0.2">
      <c r="D896" s="5"/>
      <c r="E896" s="5"/>
      <c r="L896" s="5"/>
      <c r="Q896" s="7"/>
      <c r="R896" s="7"/>
      <c r="S896" s="7"/>
    </row>
    <row r="897" spans="4:19" ht="14" x14ac:dyDescent="0.2">
      <c r="D897" s="5"/>
      <c r="E897" s="5"/>
      <c r="L897" s="5"/>
      <c r="Q897" s="7"/>
      <c r="R897" s="7"/>
      <c r="S897" s="7"/>
    </row>
    <row r="898" spans="4:19" ht="14" x14ac:dyDescent="0.2">
      <c r="D898" s="5"/>
      <c r="E898" s="5"/>
      <c r="L898" s="5"/>
      <c r="Q898" s="7"/>
      <c r="R898" s="7"/>
      <c r="S898" s="7"/>
    </row>
  </sheetData>
  <autoFilter ref="A1:S898" xr:uid="{00000000-0009-0000-0000-000006000000}"/>
  <dataValidations count="1">
    <dataValidation type="list" allowBlank="1" showErrorMessage="1" sqref="L2:L372" xr:uid="{AA0826D7-44EE-0A46-957A-F6131E02E101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Good_Study Herbarium Everything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Miriam Hafkin</dc:creator>
  <cp:lastModifiedBy>Miriam Hafkin</cp:lastModifiedBy>
  <dcterms:created xsi:type="dcterms:W3CDTF">2026-07-08T19:01:03Z</dcterms:created>
  <dcterms:modified xsi:type="dcterms:W3CDTF">2026-07-08T19:01:55Z</dcterms:modified>
</cp:coreProperties>
</file>