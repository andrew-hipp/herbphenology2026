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iamhafkin/Desktop/"/>
    </mc:Choice>
  </mc:AlternateContent>
  <xr:revisionPtr revIDLastSave="0" documentId="8_{F29CAF0A-A1F5-3541-BC6A-899E4EEDECBB}" xr6:coauthVersionLast="47" xr6:coauthVersionMax="47" xr10:uidLastSave="{00000000-0000-0000-0000-000000000000}"/>
  <bookViews>
    <workbookView xWindow="4820" yWindow="760" windowWidth="24960" windowHeight="16480" xr2:uid="{6420C785-2600-424D-959A-E02308B5DBA5}"/>
  </bookViews>
  <sheets>
    <sheet name="Study Herbarium Everything else" sheetId="1" r:id="rId1"/>
  </sheets>
  <definedNames>
    <definedName name="_xlnm._FilterDatabase" localSheetId="0" hidden="1">'Study Herbarium Everything else'!$A$1:$Q$373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P2" i="1"/>
  <c r="Q2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P107" i="1"/>
  <c r="Q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O126" i="1"/>
  <c r="P126" i="1"/>
  <c r="Q126" i="1"/>
  <c r="O127" i="1"/>
  <c r="P127" i="1"/>
  <c r="Q127" i="1"/>
  <c r="O128" i="1"/>
  <c r="P128" i="1"/>
  <c r="Q128" i="1"/>
  <c r="O129" i="1"/>
  <c r="P129" i="1"/>
  <c r="Q129" i="1"/>
  <c r="O130" i="1"/>
  <c r="P130" i="1"/>
  <c r="Q130" i="1"/>
  <c r="O131" i="1"/>
  <c r="P131" i="1"/>
  <c r="Q131" i="1"/>
  <c r="O132" i="1"/>
  <c r="P132" i="1"/>
  <c r="Q132" i="1"/>
  <c r="O133" i="1"/>
  <c r="P133" i="1"/>
  <c r="Q133" i="1"/>
  <c r="O134" i="1"/>
  <c r="P134" i="1"/>
  <c r="Q134" i="1"/>
  <c r="O135" i="1"/>
  <c r="P135" i="1"/>
  <c r="Q135" i="1"/>
  <c r="O136" i="1"/>
  <c r="P136" i="1"/>
  <c r="Q136" i="1"/>
  <c r="O137" i="1"/>
  <c r="P137" i="1"/>
  <c r="Q137" i="1"/>
  <c r="O138" i="1"/>
  <c r="P138" i="1"/>
  <c r="Q138" i="1"/>
  <c r="O139" i="1"/>
  <c r="P139" i="1"/>
  <c r="Q139" i="1"/>
  <c r="O140" i="1"/>
  <c r="P140" i="1"/>
  <c r="Q140" i="1"/>
  <c r="O141" i="1"/>
  <c r="P141" i="1"/>
  <c r="Q141" i="1"/>
  <c r="O142" i="1"/>
  <c r="P142" i="1"/>
  <c r="Q142" i="1"/>
  <c r="O143" i="1"/>
  <c r="P143" i="1"/>
  <c r="Q143" i="1"/>
  <c r="O144" i="1"/>
  <c r="P144" i="1"/>
  <c r="Q144" i="1"/>
  <c r="O145" i="1"/>
  <c r="P145" i="1"/>
  <c r="Q145" i="1"/>
  <c r="O146" i="1"/>
  <c r="P146" i="1"/>
  <c r="Q146" i="1"/>
  <c r="O147" i="1"/>
  <c r="P147" i="1"/>
  <c r="Q147" i="1"/>
  <c r="O148" i="1"/>
  <c r="P148" i="1"/>
  <c r="Q148" i="1"/>
  <c r="O149" i="1"/>
  <c r="P149" i="1"/>
  <c r="Q149" i="1"/>
  <c r="O150" i="1"/>
  <c r="P150" i="1"/>
  <c r="Q150" i="1"/>
  <c r="O151" i="1"/>
  <c r="P151" i="1"/>
  <c r="Q151" i="1"/>
  <c r="O152" i="1"/>
  <c r="P152" i="1"/>
  <c r="Q152" i="1"/>
  <c r="O153" i="1"/>
  <c r="P153" i="1"/>
  <c r="Q153" i="1"/>
  <c r="O154" i="1"/>
  <c r="P154" i="1"/>
  <c r="Q154" i="1"/>
  <c r="O155" i="1"/>
  <c r="P155" i="1"/>
  <c r="Q155" i="1"/>
  <c r="O156" i="1"/>
  <c r="P156" i="1"/>
  <c r="Q156" i="1"/>
  <c r="O157" i="1"/>
  <c r="P157" i="1"/>
  <c r="Q157" i="1"/>
  <c r="O158" i="1"/>
  <c r="P158" i="1"/>
  <c r="Q158" i="1"/>
  <c r="O159" i="1"/>
  <c r="P159" i="1"/>
  <c r="Q159" i="1"/>
  <c r="O160" i="1"/>
  <c r="P160" i="1"/>
  <c r="Q160" i="1"/>
  <c r="O161" i="1"/>
  <c r="P161" i="1"/>
  <c r="Q161" i="1"/>
  <c r="O162" i="1"/>
  <c r="P162" i="1"/>
  <c r="Q162" i="1"/>
  <c r="O163" i="1"/>
  <c r="P163" i="1"/>
  <c r="Q163" i="1"/>
  <c r="O164" i="1"/>
  <c r="P164" i="1"/>
  <c r="Q164" i="1"/>
  <c r="O165" i="1"/>
  <c r="P165" i="1"/>
  <c r="Q165" i="1"/>
  <c r="O166" i="1"/>
  <c r="P166" i="1"/>
  <c r="Q166" i="1"/>
  <c r="O167" i="1"/>
  <c r="P167" i="1"/>
  <c r="Q167" i="1"/>
  <c r="O168" i="1"/>
  <c r="P168" i="1"/>
  <c r="Q168" i="1"/>
  <c r="O169" i="1"/>
  <c r="P169" i="1"/>
  <c r="Q169" i="1"/>
  <c r="O170" i="1"/>
  <c r="P170" i="1"/>
  <c r="Q170" i="1"/>
  <c r="O171" i="1"/>
  <c r="P171" i="1"/>
  <c r="Q171" i="1"/>
  <c r="O172" i="1"/>
  <c r="P172" i="1"/>
  <c r="Q172" i="1"/>
  <c r="O173" i="1"/>
  <c r="P173" i="1"/>
  <c r="Q173" i="1"/>
  <c r="O174" i="1"/>
  <c r="P174" i="1"/>
  <c r="Q174" i="1"/>
  <c r="O175" i="1"/>
  <c r="P175" i="1"/>
  <c r="Q175" i="1"/>
  <c r="O176" i="1"/>
  <c r="P176" i="1"/>
  <c r="Q176" i="1"/>
  <c r="O177" i="1"/>
  <c r="P177" i="1"/>
  <c r="Q177" i="1"/>
  <c r="O178" i="1"/>
  <c r="P178" i="1"/>
  <c r="Q178" i="1"/>
  <c r="O179" i="1"/>
  <c r="P179" i="1"/>
  <c r="Q179" i="1"/>
  <c r="O180" i="1"/>
  <c r="P180" i="1"/>
  <c r="Q180" i="1"/>
  <c r="O181" i="1"/>
  <c r="P181" i="1"/>
  <c r="Q181" i="1"/>
  <c r="O182" i="1"/>
  <c r="P182" i="1"/>
  <c r="Q182" i="1"/>
  <c r="O183" i="1"/>
  <c r="P183" i="1"/>
  <c r="Q183" i="1"/>
  <c r="O184" i="1"/>
  <c r="P184" i="1"/>
  <c r="Q184" i="1"/>
  <c r="O185" i="1"/>
  <c r="P185" i="1"/>
  <c r="Q185" i="1"/>
  <c r="O186" i="1"/>
  <c r="P186" i="1"/>
  <c r="Q186" i="1"/>
  <c r="O187" i="1"/>
  <c r="P187" i="1"/>
  <c r="Q187" i="1"/>
  <c r="O188" i="1"/>
  <c r="P188" i="1"/>
  <c r="Q188" i="1"/>
  <c r="O189" i="1"/>
  <c r="P189" i="1"/>
  <c r="Q189" i="1"/>
  <c r="O190" i="1"/>
  <c r="P190" i="1"/>
  <c r="Q190" i="1"/>
  <c r="O191" i="1"/>
  <c r="P191" i="1"/>
  <c r="Q191" i="1"/>
  <c r="O192" i="1"/>
  <c r="P192" i="1"/>
  <c r="Q192" i="1"/>
  <c r="O193" i="1"/>
  <c r="P193" i="1"/>
  <c r="Q193" i="1"/>
  <c r="O194" i="1"/>
  <c r="P194" i="1"/>
  <c r="Q194" i="1"/>
  <c r="O195" i="1"/>
  <c r="P195" i="1"/>
  <c r="Q195" i="1"/>
  <c r="O196" i="1"/>
  <c r="P196" i="1"/>
  <c r="Q196" i="1"/>
  <c r="O197" i="1"/>
  <c r="P197" i="1"/>
  <c r="Q197" i="1"/>
  <c r="O198" i="1"/>
  <c r="P198" i="1"/>
  <c r="Q198" i="1"/>
  <c r="O199" i="1"/>
  <c r="P199" i="1"/>
  <c r="Q199" i="1"/>
  <c r="O200" i="1"/>
  <c r="P200" i="1"/>
  <c r="Q200" i="1"/>
  <c r="O201" i="1"/>
  <c r="P201" i="1"/>
  <c r="Q201" i="1"/>
  <c r="O202" i="1"/>
  <c r="P202" i="1"/>
  <c r="Q202" i="1"/>
  <c r="O203" i="1"/>
  <c r="P203" i="1"/>
  <c r="Q203" i="1"/>
  <c r="O204" i="1"/>
  <c r="P204" i="1"/>
  <c r="Q204" i="1"/>
  <c r="O205" i="1"/>
  <c r="P205" i="1"/>
  <c r="Q205" i="1"/>
  <c r="O206" i="1"/>
  <c r="P206" i="1"/>
  <c r="Q206" i="1"/>
  <c r="O207" i="1"/>
  <c r="P207" i="1"/>
  <c r="Q207" i="1"/>
  <c r="O208" i="1"/>
  <c r="P208" i="1"/>
  <c r="Q208" i="1"/>
  <c r="O209" i="1"/>
  <c r="P209" i="1"/>
  <c r="Q209" i="1"/>
  <c r="O210" i="1"/>
  <c r="P210" i="1"/>
  <c r="Q210" i="1"/>
  <c r="O211" i="1"/>
  <c r="P211" i="1"/>
  <c r="Q211" i="1"/>
  <c r="O212" i="1"/>
  <c r="P212" i="1"/>
  <c r="Q212" i="1"/>
  <c r="O213" i="1"/>
  <c r="P213" i="1"/>
  <c r="Q213" i="1"/>
  <c r="O214" i="1"/>
  <c r="P214" i="1"/>
  <c r="Q214" i="1"/>
  <c r="O215" i="1"/>
  <c r="P215" i="1"/>
  <c r="Q215" i="1"/>
  <c r="O216" i="1"/>
  <c r="P216" i="1"/>
  <c r="Q216" i="1"/>
  <c r="O217" i="1"/>
  <c r="P217" i="1"/>
  <c r="Q217" i="1"/>
  <c r="O218" i="1"/>
  <c r="P218" i="1"/>
  <c r="Q218" i="1"/>
  <c r="O219" i="1"/>
  <c r="P219" i="1"/>
  <c r="Q219" i="1"/>
  <c r="O220" i="1"/>
  <c r="P220" i="1"/>
  <c r="Q220" i="1"/>
  <c r="O221" i="1"/>
  <c r="P221" i="1"/>
  <c r="Q221" i="1"/>
  <c r="O222" i="1"/>
  <c r="P222" i="1"/>
  <c r="Q222" i="1"/>
  <c r="O223" i="1"/>
  <c r="P223" i="1"/>
  <c r="Q223" i="1"/>
  <c r="O224" i="1"/>
  <c r="P224" i="1"/>
  <c r="Q224" i="1"/>
  <c r="O225" i="1"/>
  <c r="P225" i="1"/>
  <c r="Q225" i="1"/>
  <c r="O226" i="1"/>
  <c r="P226" i="1"/>
  <c r="Q226" i="1"/>
  <c r="O227" i="1"/>
  <c r="P227" i="1"/>
  <c r="Q227" i="1"/>
  <c r="O228" i="1"/>
  <c r="P228" i="1"/>
  <c r="Q228" i="1"/>
  <c r="O229" i="1"/>
  <c r="P229" i="1"/>
  <c r="Q229" i="1"/>
  <c r="O230" i="1"/>
  <c r="P230" i="1"/>
  <c r="Q230" i="1"/>
  <c r="O231" i="1"/>
  <c r="P231" i="1"/>
  <c r="Q231" i="1"/>
  <c r="O232" i="1"/>
  <c r="P232" i="1"/>
  <c r="Q232" i="1"/>
  <c r="O233" i="1"/>
  <c r="P233" i="1"/>
  <c r="Q233" i="1"/>
  <c r="O234" i="1"/>
  <c r="P234" i="1"/>
  <c r="Q234" i="1"/>
  <c r="O235" i="1"/>
  <c r="P235" i="1"/>
  <c r="Q235" i="1"/>
  <c r="O236" i="1"/>
  <c r="P236" i="1"/>
  <c r="Q236" i="1"/>
  <c r="O237" i="1"/>
  <c r="P237" i="1"/>
  <c r="Q237" i="1"/>
  <c r="O238" i="1"/>
  <c r="P238" i="1"/>
  <c r="Q238" i="1"/>
  <c r="O239" i="1"/>
  <c r="P239" i="1"/>
  <c r="Q239" i="1"/>
  <c r="O240" i="1"/>
  <c r="P240" i="1"/>
  <c r="Q240" i="1"/>
  <c r="O241" i="1"/>
  <c r="P241" i="1"/>
  <c r="Q241" i="1"/>
  <c r="O242" i="1"/>
  <c r="P242" i="1"/>
  <c r="Q242" i="1"/>
  <c r="O243" i="1"/>
  <c r="P243" i="1"/>
  <c r="Q243" i="1"/>
  <c r="O244" i="1"/>
  <c r="P244" i="1"/>
  <c r="Q244" i="1"/>
  <c r="O245" i="1"/>
  <c r="P245" i="1"/>
  <c r="Q245" i="1"/>
  <c r="O246" i="1"/>
  <c r="P246" i="1"/>
  <c r="Q246" i="1"/>
  <c r="O247" i="1"/>
  <c r="P247" i="1"/>
  <c r="Q247" i="1"/>
  <c r="O248" i="1"/>
  <c r="P248" i="1"/>
  <c r="Q248" i="1"/>
  <c r="O249" i="1"/>
  <c r="P249" i="1"/>
  <c r="Q249" i="1"/>
  <c r="O250" i="1"/>
  <c r="P250" i="1"/>
  <c r="Q250" i="1"/>
  <c r="O251" i="1"/>
  <c r="P251" i="1"/>
  <c r="Q251" i="1"/>
  <c r="O252" i="1"/>
  <c r="P252" i="1"/>
  <c r="Q252" i="1"/>
  <c r="O253" i="1"/>
  <c r="P253" i="1"/>
  <c r="Q253" i="1"/>
  <c r="O254" i="1"/>
  <c r="P254" i="1"/>
  <c r="Q254" i="1"/>
  <c r="O255" i="1"/>
  <c r="P255" i="1"/>
  <c r="Q255" i="1"/>
  <c r="O256" i="1"/>
  <c r="P256" i="1"/>
  <c r="Q256" i="1"/>
  <c r="O257" i="1"/>
  <c r="P257" i="1"/>
  <c r="Q257" i="1"/>
  <c r="O258" i="1"/>
  <c r="P258" i="1"/>
  <c r="Q258" i="1"/>
  <c r="O259" i="1"/>
  <c r="P259" i="1"/>
  <c r="Q259" i="1"/>
  <c r="O260" i="1"/>
  <c r="P260" i="1"/>
  <c r="Q260" i="1"/>
  <c r="O261" i="1"/>
  <c r="P261" i="1"/>
  <c r="Q261" i="1"/>
  <c r="O262" i="1"/>
  <c r="P262" i="1"/>
  <c r="Q262" i="1"/>
  <c r="O263" i="1"/>
  <c r="P263" i="1"/>
  <c r="Q263" i="1"/>
  <c r="O264" i="1"/>
  <c r="P264" i="1"/>
  <c r="Q264" i="1"/>
  <c r="O265" i="1"/>
  <c r="P265" i="1"/>
  <c r="Q265" i="1"/>
  <c r="O266" i="1"/>
  <c r="P266" i="1"/>
  <c r="Q266" i="1"/>
  <c r="O267" i="1"/>
  <c r="P267" i="1"/>
  <c r="Q267" i="1"/>
  <c r="O268" i="1"/>
  <c r="P268" i="1"/>
  <c r="Q268" i="1"/>
  <c r="O269" i="1"/>
  <c r="P269" i="1"/>
  <c r="Q269" i="1"/>
  <c r="O270" i="1"/>
  <c r="P270" i="1"/>
  <c r="Q270" i="1"/>
  <c r="O271" i="1"/>
  <c r="P271" i="1"/>
  <c r="Q271" i="1"/>
  <c r="O272" i="1"/>
  <c r="P272" i="1"/>
  <c r="Q272" i="1"/>
  <c r="O273" i="1"/>
  <c r="P273" i="1"/>
  <c r="Q273" i="1"/>
  <c r="O274" i="1"/>
  <c r="P274" i="1"/>
  <c r="Q274" i="1"/>
  <c r="O275" i="1"/>
  <c r="P275" i="1"/>
  <c r="Q275" i="1"/>
  <c r="O276" i="1"/>
  <c r="P276" i="1"/>
  <c r="Q276" i="1"/>
  <c r="O277" i="1"/>
  <c r="P277" i="1"/>
  <c r="Q277" i="1"/>
  <c r="O278" i="1"/>
  <c r="P278" i="1"/>
  <c r="Q278" i="1"/>
  <c r="O279" i="1"/>
  <c r="P279" i="1"/>
  <c r="Q279" i="1"/>
  <c r="O280" i="1"/>
  <c r="P280" i="1"/>
  <c r="Q280" i="1"/>
  <c r="O281" i="1"/>
  <c r="P281" i="1"/>
  <c r="Q281" i="1"/>
  <c r="O282" i="1"/>
  <c r="P282" i="1"/>
  <c r="Q282" i="1"/>
  <c r="O283" i="1"/>
  <c r="P283" i="1"/>
  <c r="Q283" i="1"/>
  <c r="O284" i="1"/>
  <c r="P284" i="1"/>
  <c r="Q284" i="1"/>
  <c r="O285" i="1"/>
  <c r="P285" i="1"/>
  <c r="Q285" i="1"/>
  <c r="O286" i="1"/>
  <c r="P286" i="1"/>
  <c r="Q286" i="1"/>
  <c r="O287" i="1"/>
  <c r="P287" i="1"/>
  <c r="Q287" i="1"/>
  <c r="O288" i="1"/>
  <c r="P288" i="1"/>
  <c r="Q288" i="1"/>
  <c r="O289" i="1"/>
  <c r="P289" i="1"/>
  <c r="Q289" i="1"/>
  <c r="O290" i="1"/>
  <c r="P290" i="1"/>
  <c r="Q290" i="1"/>
  <c r="O291" i="1"/>
  <c r="P291" i="1"/>
  <c r="Q291" i="1"/>
  <c r="O292" i="1"/>
  <c r="P292" i="1"/>
  <c r="Q292" i="1"/>
  <c r="O293" i="1"/>
  <c r="P293" i="1"/>
  <c r="Q293" i="1"/>
  <c r="O294" i="1"/>
  <c r="P294" i="1"/>
  <c r="Q294" i="1"/>
  <c r="O295" i="1"/>
  <c r="P295" i="1"/>
  <c r="Q295" i="1"/>
  <c r="O296" i="1"/>
  <c r="P296" i="1"/>
  <c r="Q296" i="1"/>
  <c r="O297" i="1"/>
  <c r="P297" i="1"/>
  <c r="Q297" i="1"/>
  <c r="O298" i="1"/>
  <c r="P298" i="1"/>
  <c r="Q298" i="1"/>
  <c r="O299" i="1"/>
  <c r="P299" i="1"/>
  <c r="Q299" i="1"/>
  <c r="O300" i="1"/>
  <c r="P300" i="1"/>
  <c r="Q300" i="1"/>
  <c r="O301" i="1"/>
  <c r="P301" i="1"/>
  <c r="Q301" i="1"/>
  <c r="O302" i="1"/>
  <c r="P302" i="1"/>
  <c r="Q302" i="1"/>
  <c r="O303" i="1"/>
  <c r="P303" i="1"/>
  <c r="Q303" i="1"/>
  <c r="O304" i="1"/>
  <c r="P304" i="1"/>
  <c r="Q304" i="1"/>
  <c r="O305" i="1"/>
  <c r="P305" i="1"/>
  <c r="Q305" i="1"/>
  <c r="O306" i="1"/>
  <c r="P306" i="1"/>
  <c r="Q306" i="1"/>
  <c r="O307" i="1"/>
  <c r="P307" i="1"/>
  <c r="Q307" i="1"/>
  <c r="O308" i="1"/>
  <c r="P308" i="1"/>
  <c r="Q308" i="1"/>
  <c r="O309" i="1"/>
  <c r="P309" i="1"/>
  <c r="Q309" i="1"/>
  <c r="O310" i="1"/>
  <c r="P310" i="1"/>
  <c r="Q310" i="1"/>
  <c r="O311" i="1"/>
  <c r="P311" i="1"/>
  <c r="Q311" i="1"/>
  <c r="O312" i="1"/>
  <c r="P312" i="1"/>
  <c r="Q312" i="1"/>
  <c r="O313" i="1"/>
  <c r="P313" i="1"/>
  <c r="Q313" i="1"/>
  <c r="O314" i="1"/>
  <c r="P314" i="1"/>
  <c r="Q314" i="1"/>
  <c r="O315" i="1"/>
  <c r="P315" i="1"/>
  <c r="Q315" i="1"/>
  <c r="O316" i="1"/>
  <c r="P316" i="1"/>
  <c r="Q316" i="1"/>
  <c r="O317" i="1"/>
  <c r="P317" i="1"/>
  <c r="Q317" i="1"/>
  <c r="O318" i="1"/>
  <c r="P318" i="1"/>
  <c r="Q318" i="1"/>
  <c r="O319" i="1"/>
  <c r="P319" i="1"/>
  <c r="Q319" i="1"/>
  <c r="O320" i="1"/>
  <c r="P320" i="1"/>
  <c r="Q320" i="1"/>
  <c r="O321" i="1"/>
  <c r="P321" i="1"/>
  <c r="Q321" i="1"/>
  <c r="O322" i="1"/>
  <c r="P322" i="1"/>
  <c r="Q322" i="1"/>
  <c r="O323" i="1"/>
  <c r="P323" i="1"/>
  <c r="Q323" i="1"/>
  <c r="O324" i="1"/>
  <c r="P324" i="1"/>
  <c r="Q324" i="1"/>
  <c r="O325" i="1"/>
  <c r="P325" i="1"/>
  <c r="Q325" i="1"/>
  <c r="O326" i="1"/>
  <c r="P326" i="1"/>
  <c r="Q326" i="1"/>
  <c r="O327" i="1"/>
  <c r="P327" i="1"/>
  <c r="Q327" i="1"/>
  <c r="O328" i="1"/>
  <c r="P328" i="1"/>
  <c r="Q328" i="1"/>
  <c r="O329" i="1"/>
  <c r="P329" i="1"/>
  <c r="Q329" i="1"/>
  <c r="O330" i="1"/>
  <c r="P330" i="1"/>
  <c r="Q330" i="1"/>
  <c r="O331" i="1"/>
  <c r="P331" i="1"/>
  <c r="Q331" i="1"/>
  <c r="O332" i="1"/>
  <c r="P332" i="1"/>
  <c r="Q332" i="1"/>
  <c r="O333" i="1"/>
  <c r="P333" i="1"/>
  <c r="Q333" i="1"/>
  <c r="O334" i="1"/>
  <c r="P334" i="1"/>
  <c r="Q334" i="1"/>
  <c r="O335" i="1"/>
  <c r="P335" i="1"/>
  <c r="Q335" i="1"/>
  <c r="O336" i="1"/>
  <c r="P336" i="1"/>
  <c r="Q336" i="1"/>
  <c r="O337" i="1"/>
  <c r="P337" i="1"/>
  <c r="Q337" i="1"/>
  <c r="O338" i="1"/>
  <c r="P338" i="1"/>
  <c r="Q338" i="1"/>
  <c r="O339" i="1"/>
  <c r="P339" i="1"/>
  <c r="Q339" i="1"/>
  <c r="O340" i="1"/>
  <c r="P340" i="1"/>
  <c r="Q340" i="1"/>
  <c r="O341" i="1"/>
  <c r="P341" i="1"/>
  <c r="Q341" i="1"/>
  <c r="O342" i="1"/>
  <c r="P342" i="1"/>
  <c r="Q342" i="1"/>
  <c r="O343" i="1"/>
  <c r="P343" i="1"/>
  <c r="Q343" i="1"/>
  <c r="O344" i="1"/>
  <c r="P344" i="1"/>
  <c r="Q344" i="1"/>
  <c r="O345" i="1"/>
  <c r="P345" i="1"/>
  <c r="Q345" i="1"/>
  <c r="O346" i="1"/>
  <c r="P346" i="1"/>
  <c r="Q346" i="1"/>
  <c r="O347" i="1"/>
  <c r="P347" i="1"/>
  <c r="Q347" i="1"/>
  <c r="O348" i="1"/>
  <c r="P348" i="1"/>
  <c r="Q348" i="1"/>
  <c r="O349" i="1"/>
  <c r="P349" i="1"/>
  <c r="Q349" i="1"/>
  <c r="O350" i="1"/>
  <c r="P350" i="1"/>
  <c r="Q350" i="1"/>
  <c r="O351" i="1"/>
  <c r="P351" i="1"/>
  <c r="Q351" i="1"/>
  <c r="O352" i="1"/>
  <c r="P352" i="1"/>
  <c r="Q352" i="1"/>
  <c r="O353" i="1"/>
  <c r="P353" i="1"/>
  <c r="Q353" i="1"/>
  <c r="O354" i="1"/>
  <c r="P354" i="1"/>
  <c r="Q354" i="1"/>
  <c r="O355" i="1"/>
  <c r="P355" i="1"/>
  <c r="Q355" i="1"/>
  <c r="O356" i="1"/>
  <c r="P356" i="1"/>
  <c r="Q356" i="1"/>
  <c r="O357" i="1"/>
  <c r="P357" i="1"/>
  <c r="Q357" i="1"/>
  <c r="O358" i="1"/>
  <c r="P358" i="1"/>
  <c r="Q358" i="1"/>
  <c r="O359" i="1"/>
  <c r="P359" i="1"/>
  <c r="Q359" i="1"/>
  <c r="O360" i="1"/>
  <c r="P360" i="1"/>
  <c r="Q360" i="1"/>
  <c r="O361" i="1"/>
  <c r="P361" i="1"/>
  <c r="Q361" i="1"/>
  <c r="O362" i="1"/>
  <c r="P362" i="1"/>
  <c r="Q362" i="1"/>
  <c r="O363" i="1"/>
  <c r="P363" i="1"/>
  <c r="Q363" i="1"/>
  <c r="O364" i="1"/>
  <c r="P364" i="1"/>
  <c r="Q364" i="1"/>
  <c r="O365" i="1"/>
  <c r="P365" i="1"/>
  <c r="Q365" i="1"/>
  <c r="O366" i="1"/>
  <c r="P366" i="1"/>
  <c r="Q366" i="1"/>
  <c r="O367" i="1"/>
  <c r="P367" i="1"/>
  <c r="Q367" i="1"/>
  <c r="O368" i="1"/>
  <c r="P368" i="1"/>
  <c r="Q368" i="1"/>
  <c r="O369" i="1"/>
  <c r="P369" i="1"/>
  <c r="Q369" i="1"/>
  <c r="O370" i="1"/>
  <c r="P370" i="1"/>
  <c r="Q370" i="1"/>
  <c r="O371" i="1"/>
  <c r="P371" i="1"/>
  <c r="Q371" i="1"/>
  <c r="O372" i="1"/>
  <c r="P372" i="1"/>
  <c r="Q372" i="1"/>
  <c r="O373" i="1"/>
  <c r="P373" i="1"/>
  <c r="Q3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tc={011EA033-4DD8-9449-8455-7E737DADE202}</author>
  </authors>
  <commentList>
    <comment ref="C359" authorId="0" shapeId="0" xr:uid="{011EA033-4DD8-9449-8455-7E737DADE2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None in folder</t>
      </text>
    </comment>
  </commentList>
</comments>
</file>

<file path=xl/sharedStrings.xml><?xml version="1.0" encoding="utf-8"?>
<sst xmlns="http://schemas.openxmlformats.org/spreadsheetml/2006/main" count="2185" uniqueCount="1108">
  <si>
    <t>No</t>
  </si>
  <si>
    <t>Children's Garden: Windmill Garden: J-50/07-99</t>
  </si>
  <si>
    <t>18877v25</t>
  </si>
  <si>
    <t>Dorrell, J</t>
  </si>
  <si>
    <t>Tilia tomentosa 'Sterling'</t>
  </si>
  <si>
    <t>0112598MOR</t>
  </si>
  <si>
    <t>Europe: Z-34/43-75</t>
  </si>
  <si>
    <t>LW 610</t>
  </si>
  <si>
    <t>Worcester, L</t>
  </si>
  <si>
    <t>Tilia dasystyla subsp. caucasica (V.Engl.) Pigott</t>
  </si>
  <si>
    <t>Tilia: AA-53/16-97</t>
  </si>
  <si>
    <t>LW 452</t>
  </si>
  <si>
    <t>Tilia cordata Mill.</t>
  </si>
  <si>
    <t>Tilia Collection, near U-55, east of road.</t>
  </si>
  <si>
    <t>Hess, WJ</t>
  </si>
  <si>
    <t>Tilia chinensis Maxim.</t>
  </si>
  <si>
    <t>0049478MOR</t>
  </si>
  <si>
    <t>Ping Shan</t>
  </si>
  <si>
    <t>HLJ-15</t>
  </si>
  <si>
    <t>Unknown</t>
  </si>
  <si>
    <t>Tilia amurensis Rupr.</t>
  </si>
  <si>
    <t>Staff Parking: K-44/55-17</t>
  </si>
  <si>
    <t>18868v25</t>
  </si>
  <si>
    <t>Potenberg, K</t>
  </si>
  <si>
    <t>Tilia 'Zamoyskiana'</t>
  </si>
  <si>
    <t>0112609MOR</t>
  </si>
  <si>
    <t>Yes</t>
  </si>
  <si>
    <t>Europe: Z-33/43-60</t>
  </si>
  <si>
    <t>18865v25</t>
  </si>
  <si>
    <t>Chen, S</t>
  </si>
  <si>
    <t>Tilia platyphyllos subsp. platyphyllos</t>
  </si>
  <si>
    <t>0112567MOR</t>
  </si>
  <si>
    <t>Tilia: AA-54/18-92</t>
  </si>
  <si>
    <t>13888v13</t>
  </si>
  <si>
    <t>Tilia × flaccida Host ex Bayer</t>
  </si>
  <si>
    <t>0065630MOR</t>
  </si>
  <si>
    <t>East Tilia: Q-92/25-30</t>
  </si>
  <si>
    <t>16169v19</t>
  </si>
  <si>
    <t>Carle, M</t>
  </si>
  <si>
    <t>Tilia mongolica Maxim.</t>
  </si>
  <si>
    <t>19020v25</t>
  </si>
  <si>
    <t>Europe: DD-34/30-06</t>
  </si>
  <si>
    <t>19028v25</t>
  </si>
  <si>
    <t>Tilia cordata Mill. subsp. cordata</t>
  </si>
  <si>
    <t>Europe: Y-32/49-41</t>
  </si>
  <si>
    <t>19019v25</t>
  </si>
  <si>
    <t>West DuPage River: L-28/21-34</t>
  </si>
  <si>
    <t>LW 499</t>
  </si>
  <si>
    <t>Tilia cordata 'Halka'</t>
  </si>
  <si>
    <t>0101219MOR</t>
  </si>
  <si>
    <t>Firefly Pond: G-43/45-38</t>
  </si>
  <si>
    <t>LW 620</t>
  </si>
  <si>
    <t>Tilia cordata 'Corzam'</t>
  </si>
  <si>
    <t>0099374MOR</t>
  </si>
  <si>
    <t>China: CC-67/37-93</t>
  </si>
  <si>
    <t>LW 618</t>
  </si>
  <si>
    <t>0099376MOR</t>
  </si>
  <si>
    <t>Tilia Collection, [V-55/80-80]</t>
  </si>
  <si>
    <t>5882V93</t>
  </si>
  <si>
    <t>Altvatter, K</t>
  </si>
  <si>
    <t>Tilia platyphyllos Scop.</t>
  </si>
  <si>
    <t>0071258MOR</t>
  </si>
  <si>
    <t>[IL Tree Trail]</t>
  </si>
  <si>
    <t>1323V87</t>
  </si>
  <si>
    <t>Podrasky, N</t>
  </si>
  <si>
    <t>Tilia</t>
  </si>
  <si>
    <t>0071424MOR</t>
  </si>
  <si>
    <t>Tilia: Z-56/77-19</t>
  </si>
  <si>
    <t>13957v13</t>
  </si>
  <si>
    <t>Beck, J</t>
  </si>
  <si>
    <t>0065608MOR</t>
  </si>
  <si>
    <t>Ozark Collection, w.side, [T-26/07-35]</t>
  </si>
  <si>
    <t>8205V97</t>
  </si>
  <si>
    <t>Packard, S</t>
  </si>
  <si>
    <t>0071422MOR</t>
  </si>
  <si>
    <t>[D-65/95-80]</t>
  </si>
  <si>
    <t>2769V89</t>
  </si>
  <si>
    <t>Klock, K</t>
  </si>
  <si>
    <t>0071423MOR</t>
  </si>
  <si>
    <t>Tilia: U-54/45-50</t>
  </si>
  <si>
    <t>16241v19</t>
  </si>
  <si>
    <t>Moran, E</t>
  </si>
  <si>
    <t>Tilia tomentosa Moench</t>
  </si>
  <si>
    <t>0099478MOR</t>
  </si>
  <si>
    <t>Central &amp; Western Asia: CC-68/61-96</t>
  </si>
  <si>
    <t>LW323</t>
  </si>
  <si>
    <t>0099161MOR</t>
  </si>
  <si>
    <t>Ozark: S-25/35-77</t>
  </si>
  <si>
    <t>16230v19</t>
  </si>
  <si>
    <t>0099476MOR</t>
  </si>
  <si>
    <t>Central Europe: Z-33/43-60</t>
  </si>
  <si>
    <t>LW281</t>
  </si>
  <si>
    <t>0099157MOR</t>
  </si>
  <si>
    <t>Tilia: Z-51/50-70</t>
  </si>
  <si>
    <t>LW403</t>
  </si>
  <si>
    <t>Tilia platyphyllos subsp. corinthiaca (Bosc ex K.Koch) Pigott</t>
  </si>
  <si>
    <t>0100249MOR</t>
  </si>
  <si>
    <t>China: CC-66/81-41</t>
  </si>
  <si>
    <t>LW327</t>
  </si>
  <si>
    <t>Tilia paucicostata var. dictyoneura (V.Engl. ex C.K.Schneid.) H.T.Chang &amp; R.H.Miao</t>
  </si>
  <si>
    <t>0099163MOR</t>
  </si>
  <si>
    <t>East Tilia: O-87/02-72</t>
  </si>
  <si>
    <t>LW337</t>
  </si>
  <si>
    <t>Tilia paucicostata Maxim.</t>
  </si>
  <si>
    <t>0099166MOR</t>
  </si>
  <si>
    <t>China: AA-65/59-44</t>
  </si>
  <si>
    <t>LW325</t>
  </si>
  <si>
    <t>Tilia oliveri Szyszyl.</t>
  </si>
  <si>
    <t>0099162MOR</t>
  </si>
  <si>
    <t>East Tilia: P-89/07-01</t>
  </si>
  <si>
    <t>16168v19</t>
  </si>
  <si>
    <t>DeVries, C</t>
  </si>
  <si>
    <t>0099484MOR</t>
  </si>
  <si>
    <t>Tilia: V-54/40-85</t>
  </si>
  <si>
    <t>16231v19</t>
  </si>
  <si>
    <t>0099480MOR</t>
  </si>
  <si>
    <t>China: BB-65/69-97</t>
  </si>
  <si>
    <t>LW324</t>
  </si>
  <si>
    <t>0099838MOR</t>
  </si>
  <si>
    <t>China: CC-69/18-33</t>
  </si>
  <si>
    <t>LW322</t>
  </si>
  <si>
    <t>Tilia mandshurica Rupr. &amp; Maxim.</t>
  </si>
  <si>
    <t>0099837MOR</t>
  </si>
  <si>
    <t>Propagation: H-30/area (Hoop House 5)</t>
  </si>
  <si>
    <t>LW368</t>
  </si>
  <si>
    <t>Tilia ledebourii Borbás</t>
  </si>
  <si>
    <t>0099466MOR</t>
  </si>
  <si>
    <t>Korea: R-64/60-83</t>
  </si>
  <si>
    <t>LW310</t>
  </si>
  <si>
    <t>Tilia japonica (Miq.) Simonk.</t>
  </si>
  <si>
    <t>0099158MOR</t>
  </si>
  <si>
    <t>East Tilia: O-89/80-15</t>
  </si>
  <si>
    <t>16170v19</t>
  </si>
  <si>
    <t>0099839MOR</t>
  </si>
  <si>
    <t>East Tilia: P-88/17-22</t>
  </si>
  <si>
    <t>16240v19</t>
  </si>
  <si>
    <t>0099479MOR</t>
  </si>
  <si>
    <t>Central &amp; Western Asia: BB-70/50-05</t>
  </si>
  <si>
    <t>LW320</t>
  </si>
  <si>
    <t>0099160MOR</t>
  </si>
  <si>
    <t>Central Europe: Y-32/40-69</t>
  </si>
  <si>
    <t>LW280</t>
  </si>
  <si>
    <t>0099156MOR</t>
  </si>
  <si>
    <t>Central Europe: DD-34/30-06</t>
  </si>
  <si>
    <t>LW233</t>
  </si>
  <si>
    <t>0099155MOR</t>
  </si>
  <si>
    <t>Propagation: H-30/area (pot in Pot Nursery)</t>
  </si>
  <si>
    <t>LW364</t>
  </si>
  <si>
    <t>0099168MOR</t>
  </si>
  <si>
    <t>Appalachia: AA-73/14-53</t>
  </si>
  <si>
    <t>LW346</t>
  </si>
  <si>
    <t>0099167MOR</t>
  </si>
  <si>
    <t>LW 456</t>
  </si>
  <si>
    <t>0099842MOR</t>
  </si>
  <si>
    <t>16228v19</t>
  </si>
  <si>
    <t>0099473MOR</t>
  </si>
  <si>
    <t>LW371</t>
  </si>
  <si>
    <t>0099171MOR</t>
  </si>
  <si>
    <t>Hatch Meadow: CC-41/54-11</t>
  </si>
  <si>
    <t>LW235</t>
  </si>
  <si>
    <t>0099840MOR</t>
  </si>
  <si>
    <t>LW370</t>
  </si>
  <si>
    <t>Tilia begoniifolia Steven</t>
  </si>
  <si>
    <t>0099170MOR</t>
  </si>
  <si>
    <t>Korea: P-63/97-58</t>
  </si>
  <si>
    <t>LW 457</t>
  </si>
  <si>
    <t>Tilia amurensis subsp. taquetii (C.K.Schneid.) Pigott</t>
  </si>
  <si>
    <t>0099841MOR</t>
  </si>
  <si>
    <t>Korea: Q-66/24-23</t>
  </si>
  <si>
    <t>LW311</t>
  </si>
  <si>
    <t>0099159MOR</t>
  </si>
  <si>
    <t>China: X-64/29-37</t>
  </si>
  <si>
    <t>LW 450</t>
  </si>
  <si>
    <t>0100246MOR</t>
  </si>
  <si>
    <t>Ground Cover Garden: J-42/30-80</t>
  </si>
  <si>
    <t>LW347</t>
  </si>
  <si>
    <t>Tilia × zamoyskiana Wróbl.</t>
  </si>
  <si>
    <t>0099472MOR</t>
  </si>
  <si>
    <t>Tilia: Z-54/52-73</t>
  </si>
  <si>
    <t>LW405</t>
  </si>
  <si>
    <t>Tilia × orbicularis (Carrière) Jouin</t>
  </si>
  <si>
    <t>0099173MOR</t>
  </si>
  <si>
    <t>East Tilia: Q-91/44-18</t>
  </si>
  <si>
    <t>LW402</t>
  </si>
  <si>
    <t>Tilia × flavescens 'Glenleven'</t>
  </si>
  <si>
    <t>0099465MOR</t>
  </si>
  <si>
    <t>LW404</t>
  </si>
  <si>
    <t>0099172MOR</t>
  </si>
  <si>
    <t>Tilia: P-92/97-20</t>
  </si>
  <si>
    <t>LW 455</t>
  </si>
  <si>
    <t>Tilia × europaea L.</t>
  </si>
  <si>
    <t>0099843MOR</t>
  </si>
  <si>
    <t>Tilia: O-87/20-96</t>
  </si>
  <si>
    <t>LW 454</t>
  </si>
  <si>
    <t>0099844MOR</t>
  </si>
  <si>
    <t>Tilia: AA-54/33-65</t>
  </si>
  <si>
    <t>LW350</t>
  </si>
  <si>
    <t>0099470MOR</t>
  </si>
  <si>
    <t>Tilia: W-57/55-50</t>
  </si>
  <si>
    <t>LW356</t>
  </si>
  <si>
    <t>Tilia × europaea 'Pallida'</t>
  </si>
  <si>
    <t>0099467MOR</t>
  </si>
  <si>
    <t>Frost Hill: D-64/64-93</t>
  </si>
  <si>
    <t>LW353</t>
  </si>
  <si>
    <t>Tilia × euchlora K.Koch</t>
  </si>
  <si>
    <t>0099468MOR</t>
  </si>
  <si>
    <t>Sargent's Glade: GG-22/49-27</t>
  </si>
  <si>
    <t>LW 590</t>
  </si>
  <si>
    <t>Tilia 'Moltkei'</t>
  </si>
  <si>
    <t>0101807MOR</t>
  </si>
  <si>
    <t>Tilia Collection: Z-55/Area. On east side near the DuPage River.</t>
  </si>
  <si>
    <t>Tilia tuan var. chinensis (Szyszyl.) Rehder &amp; E.H.Wilson</t>
  </si>
  <si>
    <t>0060916MOR</t>
  </si>
  <si>
    <t>Tiliaceae Collection, [AA-54/59-37]</t>
  </si>
  <si>
    <t>4854V91</t>
  </si>
  <si>
    <t>Tilia tuan Szyszyl.</t>
  </si>
  <si>
    <t>0071414MOR</t>
  </si>
  <si>
    <t>China: BB-69/88-54</t>
  </si>
  <si>
    <t>13935v13</t>
  </si>
  <si>
    <t>Glaysher, L</t>
  </si>
  <si>
    <t>0064061MOR</t>
  </si>
  <si>
    <t>6807V94</t>
  </si>
  <si>
    <t>0071415MOR</t>
  </si>
  <si>
    <t>Tilia Collection, [AA-54/59-37]</t>
  </si>
  <si>
    <t>6722V94</t>
  </si>
  <si>
    <t>0071413MOR</t>
  </si>
  <si>
    <t>Near parking, [R-45/50-85]</t>
  </si>
  <si>
    <t>Gavlak, N</t>
  </si>
  <si>
    <t>0071407MOR</t>
  </si>
  <si>
    <t>Childrens Garden: J-50/15-98</t>
  </si>
  <si>
    <t>13106v11</t>
  </si>
  <si>
    <t>0057709MOR</t>
  </si>
  <si>
    <t>Gateway to Tree Science: F-101/34-25</t>
  </si>
  <si>
    <t>LW 576</t>
  </si>
  <si>
    <t>0101694MOR</t>
  </si>
  <si>
    <t>Tilia: AA-53/57-27</t>
  </si>
  <si>
    <t>13921v13</t>
  </si>
  <si>
    <t>Means, E</t>
  </si>
  <si>
    <t>Tilia tomentosa 'Pendula'</t>
  </si>
  <si>
    <t>0064261MOR</t>
  </si>
  <si>
    <t>[M-35/80-60]</t>
  </si>
  <si>
    <t>1518V87</t>
  </si>
  <si>
    <t>0071412MOR</t>
  </si>
  <si>
    <t>Tilia Collection,n.section, [X-57/65-80]</t>
  </si>
  <si>
    <t>s.n.</t>
  </si>
  <si>
    <t>Philip, M</t>
  </si>
  <si>
    <t>Tilia tomentosa 'Erecta'</t>
  </si>
  <si>
    <t>0071411MOR</t>
  </si>
  <si>
    <t>Tilia Collection, [X-57/65-80]</t>
  </si>
  <si>
    <t>6626V94</t>
  </si>
  <si>
    <t>Carlino, J</t>
  </si>
  <si>
    <t>0071409MOR</t>
  </si>
  <si>
    <t>n. side parking lot 1, [R-45/55-88]</t>
  </si>
  <si>
    <t>7593V96</t>
  </si>
  <si>
    <t>0071410MOR</t>
  </si>
  <si>
    <t>Tiliaceae Collection, [X-57/45-30]</t>
  </si>
  <si>
    <t>0071408MOR</t>
  </si>
  <si>
    <t>[X-57/30-75]</t>
  </si>
  <si>
    <t>667V85</t>
  </si>
  <si>
    <t>0071406MOR</t>
  </si>
  <si>
    <t>Tiliaceae Col., Morton Arb., [AA-53/20-05]</t>
  </si>
  <si>
    <t>1226V87</t>
  </si>
  <si>
    <t>0071419MOR</t>
  </si>
  <si>
    <t>Ground Cover Garden, west side, north: J-42/30-80</t>
  </si>
  <si>
    <t>10193V05</t>
  </si>
  <si>
    <t>0050112MOR</t>
  </si>
  <si>
    <t>[Z-52/80-65]</t>
  </si>
  <si>
    <t>1307V87</t>
  </si>
  <si>
    <t>0071417MOR</t>
  </si>
  <si>
    <t>Tilia, N section, [Z-52/80-65]</t>
  </si>
  <si>
    <t>8557V98</t>
  </si>
  <si>
    <t>Kirt, S</t>
  </si>
  <si>
    <t>0071416MOR</t>
  </si>
  <si>
    <t>[AA-53/20-00]</t>
  </si>
  <si>
    <t>1308V87</t>
  </si>
  <si>
    <t>0071418MOR</t>
  </si>
  <si>
    <t>Tiliaceae Collection, [AA-53/20-05]</t>
  </si>
  <si>
    <t>Anderson, B</t>
  </si>
  <si>
    <t>0071420MOR</t>
  </si>
  <si>
    <t>Tiliaceae Collection, [Z-52/80-65]</t>
  </si>
  <si>
    <t>0071421MOR</t>
  </si>
  <si>
    <t>Ground Cover Garden, east side; J-42/30-80</t>
  </si>
  <si>
    <t>9951V04</t>
  </si>
  <si>
    <t>Knox, K</t>
  </si>
  <si>
    <t>0048516MOR</t>
  </si>
  <si>
    <t>Lower Joy Path: Q-24/73-71</t>
  </si>
  <si>
    <t>LW 607</t>
  </si>
  <si>
    <t>0099413MOR</t>
  </si>
  <si>
    <t>Tilia Collection, [U-54/50-15]</t>
  </si>
  <si>
    <t>0071400MOR</t>
  </si>
  <si>
    <t>Display: D-44/75-19</t>
  </si>
  <si>
    <t>13243v11</t>
  </si>
  <si>
    <t>Ball, K</t>
  </si>
  <si>
    <t>0057570MOR</t>
  </si>
  <si>
    <t>[M41/35-75]</t>
  </si>
  <si>
    <t>1498V87</t>
  </si>
  <si>
    <t>0071399MOR</t>
  </si>
  <si>
    <t>In Tilia Collection, [U-54/55-15]</t>
  </si>
  <si>
    <t>0071393MOR</t>
  </si>
  <si>
    <t>[T-47/25-75]</t>
  </si>
  <si>
    <t>1327V87</t>
  </si>
  <si>
    <t>0071398MOR</t>
  </si>
  <si>
    <t>Display Area, [B-45/Area]</t>
  </si>
  <si>
    <t>DeMink, L</t>
  </si>
  <si>
    <t>0071319MOR</t>
  </si>
  <si>
    <t>[M-41/35-75]</t>
  </si>
  <si>
    <t>3578V90</t>
  </si>
  <si>
    <t>0071394MOR</t>
  </si>
  <si>
    <t>[U-54/5.5-1.5]</t>
  </si>
  <si>
    <t>Read, RW</t>
  </si>
  <si>
    <t>0071404MOR</t>
  </si>
  <si>
    <t>[S-47/60-70]</t>
  </si>
  <si>
    <t>1328V87</t>
  </si>
  <si>
    <t>0071397MOR</t>
  </si>
  <si>
    <t>0071403MOR</t>
  </si>
  <si>
    <t>Swink, FA</t>
  </si>
  <si>
    <t>0071405MOR</t>
  </si>
  <si>
    <t>Godshalk Meadow, [O-34/85-00]</t>
  </si>
  <si>
    <t>9260V01</t>
  </si>
  <si>
    <t>0071320MOR</t>
  </si>
  <si>
    <t>Tilia: AA-55/82-66</t>
  </si>
  <si>
    <t>13889v13</t>
  </si>
  <si>
    <t>0065631MOR</t>
  </si>
  <si>
    <t>Tilia Collection,s.section, [U-54/45-50]</t>
  </si>
  <si>
    <t>0071318MOR</t>
  </si>
  <si>
    <t>[U-54]</t>
  </si>
  <si>
    <t>0071402MOR</t>
  </si>
  <si>
    <t>Tiliaceae Collection, [U-54/45-50]</t>
  </si>
  <si>
    <t>6794V94</t>
  </si>
  <si>
    <t>0071395MOR</t>
  </si>
  <si>
    <t>Tilia Collection, [U-54/55-15]</t>
  </si>
  <si>
    <t>0071401MOR</t>
  </si>
  <si>
    <t>Tilia Collection, [U-54/45-50]</t>
  </si>
  <si>
    <t>0071396MOR</t>
  </si>
  <si>
    <t>II-72/46-50 Balkan, N section</t>
  </si>
  <si>
    <t>Stephens, M</t>
  </si>
  <si>
    <t>0040385MOR</t>
  </si>
  <si>
    <t>Ground Cover J-45/10-56</t>
  </si>
  <si>
    <t>7472v96</t>
  </si>
  <si>
    <t>Tilia 'Redmond'</t>
  </si>
  <si>
    <t>0055194MOR</t>
  </si>
  <si>
    <t>Ground Cover Garden: J-45/05-96.</t>
  </si>
  <si>
    <t>7474V96</t>
  </si>
  <si>
    <t>0055198MOR</t>
  </si>
  <si>
    <t>Ground Cover Garden: J-46/29-36.</t>
  </si>
  <si>
    <t>7475V96</t>
  </si>
  <si>
    <t>0055201MOR</t>
  </si>
  <si>
    <t>Fragrance Garden: JJ-25</t>
  </si>
  <si>
    <t>9256V01</t>
  </si>
  <si>
    <t>0055196MOR</t>
  </si>
  <si>
    <t>Ground Cover Garden: J-45/22-92</t>
  </si>
  <si>
    <t>14919v16</t>
  </si>
  <si>
    <t>Madden, ME</t>
  </si>
  <si>
    <t>0092284MOR</t>
  </si>
  <si>
    <t>Tree Evaluation Plot, D-102/32-79</t>
  </si>
  <si>
    <t>0045009MOR</t>
  </si>
  <si>
    <t>J-45/10-35.</t>
  </si>
  <si>
    <t>292V84</t>
  </si>
  <si>
    <t>0055197MOR</t>
  </si>
  <si>
    <t>Ground cover garden: J-45/22-92.</t>
  </si>
  <si>
    <t>7473V96</t>
  </si>
  <si>
    <t>0055195MOR</t>
  </si>
  <si>
    <t>Ground Cover Garden: I-46/93-75.</t>
  </si>
  <si>
    <t>7476V96</t>
  </si>
  <si>
    <t>0055202MOR</t>
  </si>
  <si>
    <t>Fragrance Garden: JJ-25/82-38</t>
  </si>
  <si>
    <t>LW 453</t>
  </si>
  <si>
    <t>0100250MOR</t>
  </si>
  <si>
    <t>Alnus Collection, 0-30/90-85</t>
  </si>
  <si>
    <t>5862V93</t>
  </si>
  <si>
    <t>Bradtke, HL</t>
  </si>
  <si>
    <t>Tilia platyphyllos subsp. cordifolia (Besser) C.K.Schneid. [1]</t>
  </si>
  <si>
    <t>0049519MOR</t>
  </si>
  <si>
    <t>Alnus Collection, O-29/20-25</t>
  </si>
  <si>
    <t>5861V93</t>
  </si>
  <si>
    <t>0049520MOR</t>
  </si>
  <si>
    <t>Alnus Loop, O-30/70-30</t>
  </si>
  <si>
    <t>Stoynoff, N</t>
  </si>
  <si>
    <t>0049521MOR</t>
  </si>
  <si>
    <t>West DuPage River Collection, O-30/9-85</t>
  </si>
  <si>
    <t>8230V97</t>
  </si>
  <si>
    <t>Wise, R</t>
  </si>
  <si>
    <t>0049518MOR</t>
  </si>
  <si>
    <t>[Z-52/60-00]</t>
  </si>
  <si>
    <t>1222V87</t>
  </si>
  <si>
    <t>0071296MOR</t>
  </si>
  <si>
    <t>[T-47/30-10]</t>
  </si>
  <si>
    <t>1325V87</t>
  </si>
  <si>
    <t>0071294MOR</t>
  </si>
  <si>
    <t>Tilia Collection, [Z-52/60-00]</t>
  </si>
  <si>
    <t>6608V94</t>
  </si>
  <si>
    <t>0071252MOR</t>
  </si>
  <si>
    <t>Tiliaceae Collection, [AA-55/00-50]</t>
  </si>
  <si>
    <t>4856V91</t>
  </si>
  <si>
    <t>0071284MOR</t>
  </si>
  <si>
    <t>Tilia Collection, [Z-55/30-35]</t>
  </si>
  <si>
    <t>5876V93</t>
  </si>
  <si>
    <t>0071262MOR</t>
  </si>
  <si>
    <t>[V-56/80-65]</t>
  </si>
  <si>
    <t>1565V87</t>
  </si>
  <si>
    <t>0071307MOR</t>
  </si>
  <si>
    <t>N-32/92-28 Godshalk Meadow</t>
  </si>
  <si>
    <t>0040401MOR</t>
  </si>
  <si>
    <t>Tilia Collection, [W-57/85-20]</t>
  </si>
  <si>
    <t>0071300MOR</t>
  </si>
  <si>
    <t>[Z-55/30-35]</t>
  </si>
  <si>
    <t>1310V87</t>
  </si>
  <si>
    <t>0071298MOR</t>
  </si>
  <si>
    <t>3541V90</t>
  </si>
  <si>
    <t>Erickson, C</t>
  </si>
  <si>
    <t>0071290MOR</t>
  </si>
  <si>
    <t>[M-35/30-00]</t>
  </si>
  <si>
    <t>1519V87</t>
  </si>
  <si>
    <t>0071295MOR</t>
  </si>
  <si>
    <t>[W-55/50-65]</t>
  </si>
  <si>
    <t>1570V87</t>
  </si>
  <si>
    <t>0071293MOR</t>
  </si>
  <si>
    <t>in Godshalk Meadow, [M-35/30-00]</t>
  </si>
  <si>
    <t>Shimp, E</t>
  </si>
  <si>
    <t>0071283MOR</t>
  </si>
  <si>
    <t>[T-47/60-00]</t>
  </si>
  <si>
    <t>1326V87</t>
  </si>
  <si>
    <t>0071299MOR</t>
  </si>
  <si>
    <t>6568V94</t>
  </si>
  <si>
    <t>0071256MOR</t>
  </si>
  <si>
    <t>[E. of road]</t>
  </si>
  <si>
    <t>0071303MOR</t>
  </si>
  <si>
    <t>Tilia Collection, [V-55/50-65]</t>
  </si>
  <si>
    <t>5886V93</t>
  </si>
  <si>
    <t>0071261MOR</t>
  </si>
  <si>
    <t>Tilia Collection, [X-56/05-85]</t>
  </si>
  <si>
    <t>5900V93</t>
  </si>
  <si>
    <t>0071263MOR</t>
  </si>
  <si>
    <t>Tilia Collection, [W-55/50-65]</t>
  </si>
  <si>
    <t>6618V94</t>
  </si>
  <si>
    <t>0071254MOR</t>
  </si>
  <si>
    <t>Oleaceae Collection, [N-32/90-25]</t>
  </si>
  <si>
    <t>Rossi, E</t>
  </si>
  <si>
    <t>0071285MOR</t>
  </si>
  <si>
    <t>Tilia Collection, [Z-52/6-0]</t>
  </si>
  <si>
    <t>0071302MOR</t>
  </si>
  <si>
    <t>[W-57/85-20]</t>
  </si>
  <si>
    <t>Lesica, P</t>
  </si>
  <si>
    <t>0071304MOR</t>
  </si>
  <si>
    <t>Godshalk Meadow, north side: N-30/59-95</t>
  </si>
  <si>
    <t>10189V05</t>
  </si>
  <si>
    <t>Shroll, E</t>
  </si>
  <si>
    <t>0050165MOR</t>
  </si>
  <si>
    <t>Godshalk Meadow, [N-30/50-90]</t>
  </si>
  <si>
    <t>5849V93</t>
  </si>
  <si>
    <t>0071264MOR</t>
  </si>
  <si>
    <t>[AA-55/00-50]</t>
  </si>
  <si>
    <t>3543V90</t>
  </si>
  <si>
    <t>0071287MOR</t>
  </si>
  <si>
    <t>[Z-5260-00]</t>
  </si>
  <si>
    <t>1306V87</t>
  </si>
  <si>
    <t>0071297MOR</t>
  </si>
  <si>
    <t>Tilia Collection, [AA-55/00-50]</t>
  </si>
  <si>
    <t>6728V94</t>
  </si>
  <si>
    <t>0071253MOR</t>
  </si>
  <si>
    <t>Tree Evaluation Plot Row 13, [E-96/Area]</t>
  </si>
  <si>
    <t>6733V94</t>
  </si>
  <si>
    <t>0071257MOR</t>
  </si>
  <si>
    <t>Tilia Collection, [AA-55/0-5]</t>
  </si>
  <si>
    <t>0071301MOR</t>
  </si>
  <si>
    <t>3542V90</t>
  </si>
  <si>
    <t>0071288MOR</t>
  </si>
  <si>
    <t>0071306MOR</t>
  </si>
  <si>
    <t>5895V93</t>
  </si>
  <si>
    <t>0071260MOR</t>
  </si>
  <si>
    <t>[V-55/80-80]</t>
  </si>
  <si>
    <t>1568V87</t>
  </si>
  <si>
    <t>0071292MOR</t>
  </si>
  <si>
    <t>[N-32/90-25]</t>
  </si>
  <si>
    <t>3366V90</t>
  </si>
  <si>
    <t>0071286MOR</t>
  </si>
  <si>
    <t>Z-52/60-00</t>
  </si>
  <si>
    <t>3519V90</t>
  </si>
  <si>
    <t>0071289MOR</t>
  </si>
  <si>
    <t>[X-56/05-85]</t>
  </si>
  <si>
    <t>0071305MOR</t>
  </si>
  <si>
    <t>Godshalk Meadow, [N-32/90-25]</t>
  </si>
  <si>
    <t>5850V93</t>
  </si>
  <si>
    <t>0071265MOR</t>
  </si>
  <si>
    <t>near Meadow Lake, [T-47/30-10]</t>
  </si>
  <si>
    <t>4840V91</t>
  </si>
  <si>
    <t>0071291MOR</t>
  </si>
  <si>
    <t>Tilia Collection, [V-56/80-65]</t>
  </si>
  <si>
    <t>5896V93</t>
  </si>
  <si>
    <t>0071259MOR</t>
  </si>
  <si>
    <t>Central Europe: DD-34/05-82</t>
  </si>
  <si>
    <t>16229v19</t>
  </si>
  <si>
    <t>0099475MOR</t>
  </si>
  <si>
    <t>Aesculus Collection, [K-88/50-05]</t>
  </si>
  <si>
    <t>6712V94</t>
  </si>
  <si>
    <t>Tilia platyphyllos 'Vitifolia'</t>
  </si>
  <si>
    <t>0071317MOR</t>
  </si>
  <si>
    <t>Tiliaceae: V-55/80-80</t>
  </si>
  <si>
    <t>Tilia platyphyllos 'Rubra'</t>
  </si>
  <si>
    <t>0060936MOR</t>
  </si>
  <si>
    <t>Tiliaceae: W-55/65-95</t>
  </si>
  <si>
    <t>5880V93</t>
  </si>
  <si>
    <t>0060937MOR</t>
  </si>
  <si>
    <t>Tiliaceae: W-55/25-95</t>
  </si>
  <si>
    <t>1569V87</t>
  </si>
  <si>
    <t>0060935MOR</t>
  </si>
  <si>
    <t>[H-66/80-00]</t>
  </si>
  <si>
    <t>Tilia platyphyllos 'Pyramidalis'</t>
  </si>
  <si>
    <t>0071278MOR</t>
  </si>
  <si>
    <t>Ground Cover Garden, [J-45/25-10]</t>
  </si>
  <si>
    <t>7471V96</t>
  </si>
  <si>
    <t>Linden, M</t>
  </si>
  <si>
    <t>0071281MOR</t>
  </si>
  <si>
    <t>[J-45/25-10]</t>
  </si>
  <si>
    <t>291V84</t>
  </si>
  <si>
    <t>0071277MOR</t>
  </si>
  <si>
    <t>Tilia Collection, [VW-57/25-55]</t>
  </si>
  <si>
    <t>5892V93</t>
  </si>
  <si>
    <t>0071279MOR</t>
  </si>
  <si>
    <t>[Street Tree Grp]</t>
  </si>
  <si>
    <t>0071282MOR</t>
  </si>
  <si>
    <t>0071276MOR</t>
  </si>
  <si>
    <t>Ozarks Collection: S-25/35-77</t>
  </si>
  <si>
    <t>8208V97</t>
  </si>
  <si>
    <t>0060933MOR</t>
  </si>
  <si>
    <t>Columnar Collection, [H-66/80-00]</t>
  </si>
  <si>
    <t>7265V95</t>
  </si>
  <si>
    <t>0071280MOR</t>
  </si>
  <si>
    <t>Ozarks: S-24/Area</t>
  </si>
  <si>
    <t>1188V87</t>
  </si>
  <si>
    <t>0060934MOR</t>
  </si>
  <si>
    <t>Tilia: Z-50/30-95</t>
  </si>
  <si>
    <t>13925v13</t>
  </si>
  <si>
    <t>Tilia platyphyllos 'Orebro'</t>
  </si>
  <si>
    <t>0065598MOR</t>
  </si>
  <si>
    <t>Tiliaceae Col., Morton Arb., [Z-51/50-70]</t>
  </si>
  <si>
    <t>1221V87</t>
  </si>
  <si>
    <t>0071273MOR</t>
  </si>
  <si>
    <t>Tilia Collection, [Z-50/30-95]</t>
  </si>
  <si>
    <t>6569V94</t>
  </si>
  <si>
    <t>0071275MOR</t>
  </si>
  <si>
    <t>[Z-51/50-70]</t>
  </si>
  <si>
    <t>3520V90</t>
  </si>
  <si>
    <t>0071274MOR</t>
  </si>
  <si>
    <t>[Near Salix Grp]</t>
  </si>
  <si>
    <t>Eickhorst, W</t>
  </si>
  <si>
    <t>Tilia platyphyllos 'Laciniata'</t>
  </si>
  <si>
    <t>0071314MOR</t>
  </si>
  <si>
    <t>Tilia Collection, [V-55/45-55]</t>
  </si>
  <si>
    <t>5883V93</t>
  </si>
  <si>
    <t>0071308MOR</t>
  </si>
  <si>
    <t>Tilia: V-56/45-30</t>
  </si>
  <si>
    <t>13954v13</t>
  </si>
  <si>
    <t>0065605MOR</t>
  </si>
  <si>
    <t>[K-26-41]</t>
  </si>
  <si>
    <t>0071313MOR</t>
  </si>
  <si>
    <t>[V-55/45-55]</t>
  </si>
  <si>
    <t>0071312MOR</t>
  </si>
  <si>
    <t>Tilia Collection, [V-55/45-30]</t>
  </si>
  <si>
    <t>5897V93</t>
  </si>
  <si>
    <t>0071315MOR</t>
  </si>
  <si>
    <t>Tilia Collection, [V-55/50-15]</t>
  </si>
  <si>
    <t>5885V93</t>
  </si>
  <si>
    <t>0071316MOR</t>
  </si>
  <si>
    <t>Tilia Collection, [V-55/90-30]</t>
  </si>
  <si>
    <t>5884V93</t>
  </si>
  <si>
    <t>0071309MOR</t>
  </si>
  <si>
    <t>Tilia: V-55</t>
  </si>
  <si>
    <t>3649V90</t>
  </si>
  <si>
    <t>0071311MOR</t>
  </si>
  <si>
    <t>Tiliaceae Collection, [V-57/90-35]</t>
  </si>
  <si>
    <t>336-69</t>
  </si>
  <si>
    <t>0071266MOR</t>
  </si>
  <si>
    <t>Chinese Collection, [AA-65/59-44]</t>
  </si>
  <si>
    <t>4705V91</t>
  </si>
  <si>
    <t>0071267MOR</t>
  </si>
  <si>
    <t>Tilia Collection, V-55/15-55</t>
  </si>
  <si>
    <t>5887V93</t>
  </si>
  <si>
    <t>0049461MOR</t>
  </si>
  <si>
    <t>Tilia Collection, X-55/15-55, east side of road.</t>
  </si>
  <si>
    <t>0049456MOR</t>
  </si>
  <si>
    <t>Tilia, south section: X-56/00-00</t>
  </si>
  <si>
    <t>5879V93</t>
  </si>
  <si>
    <t>0049460MOR</t>
  </si>
  <si>
    <t>Northeast Asia: CC-41/54-11</t>
  </si>
  <si>
    <t>8532V98</t>
  </si>
  <si>
    <t>0049451MOR</t>
  </si>
  <si>
    <t>5315V92</t>
  </si>
  <si>
    <t>0049452MOR</t>
  </si>
  <si>
    <t>3653V90</t>
  </si>
  <si>
    <t>Terrien, D</t>
  </si>
  <si>
    <t>0049450MOR</t>
  </si>
  <si>
    <t>Tilia, X-55/15-55</t>
  </si>
  <si>
    <t>3652V90</t>
  </si>
  <si>
    <t>0049459MOR</t>
  </si>
  <si>
    <t>Tilia, north section: AA-54/26-29</t>
  </si>
  <si>
    <t>6723V94</t>
  </si>
  <si>
    <t>0049449MOR</t>
  </si>
  <si>
    <t>9286V01</t>
  </si>
  <si>
    <t>0049455MOR</t>
  </si>
  <si>
    <t>Tilia Collection, X-56/00-00, east side of road.</t>
  </si>
  <si>
    <t>0049454MOR</t>
  </si>
  <si>
    <t>Tilia Collection, X-56/Area, on the east side near the DuPage River.</t>
  </si>
  <si>
    <t>0049453MOR</t>
  </si>
  <si>
    <t>[Evaluation Plot]</t>
  </si>
  <si>
    <t>0071268MOR</t>
  </si>
  <si>
    <t>Tilia Collection, X-37/45-30</t>
  </si>
  <si>
    <t>3906V90</t>
  </si>
  <si>
    <t>0050052MOR</t>
  </si>
  <si>
    <t>China, central section: BB-65/69-97</t>
  </si>
  <si>
    <t>11885v09</t>
  </si>
  <si>
    <t>0054773MOR</t>
  </si>
  <si>
    <t>Tilia Collection,s.section, V-54/40-85</t>
  </si>
  <si>
    <t>0050050MOR</t>
  </si>
  <si>
    <t>[Z-54/?]</t>
  </si>
  <si>
    <t>Ciolac, C</t>
  </si>
  <si>
    <t>0071272MOR</t>
  </si>
  <si>
    <t>Tree Evaluation Plot, [E-96/Area]</t>
  </si>
  <si>
    <t>0071269MOR</t>
  </si>
  <si>
    <t>China Collection, EE-65/07-11</t>
  </si>
  <si>
    <t>9063V99</t>
  </si>
  <si>
    <t>0050048MOR</t>
  </si>
  <si>
    <t>Korea: T-66/53-91</t>
  </si>
  <si>
    <t>13908v13</t>
  </si>
  <si>
    <t>0064038MOR</t>
  </si>
  <si>
    <t>Tiliaceae Collection, V-54/40-85</t>
  </si>
  <si>
    <t>9278V01</t>
  </si>
  <si>
    <t>0050047MOR</t>
  </si>
  <si>
    <t>Korea: P-64/84-82</t>
  </si>
  <si>
    <t>11263v08</t>
  </si>
  <si>
    <t>0054191MOR</t>
  </si>
  <si>
    <t>China BB-65/69-97</t>
  </si>
  <si>
    <t>13039v11</t>
  </si>
  <si>
    <t>0058002MOR</t>
  </si>
  <si>
    <t>0071270MOR</t>
  </si>
  <si>
    <t>Tree Evaluation Area, E-96/Area</t>
  </si>
  <si>
    <t>7207V95</t>
  </si>
  <si>
    <t>0050051MOR</t>
  </si>
  <si>
    <t>Korea: T-67/28-19</t>
  </si>
  <si>
    <t>13907v13</t>
  </si>
  <si>
    <t>0064037MOR</t>
  </si>
  <si>
    <t>0050049MOR</t>
  </si>
  <si>
    <t>0071271MOR</t>
  </si>
  <si>
    <t>China, north section: CC-62/18-94</t>
  </si>
  <si>
    <t>11691v09</t>
  </si>
  <si>
    <t>0055536MOR</t>
  </si>
  <si>
    <t>Tilia Collection, X-57/45-30, east side of road.</t>
  </si>
  <si>
    <t>0049457MOR</t>
  </si>
  <si>
    <t>China: X-62/54-81</t>
  </si>
  <si>
    <t>LW 577</t>
  </si>
  <si>
    <t>0101693MOR</t>
  </si>
  <si>
    <t>China: DD-64/09-00</t>
  </si>
  <si>
    <t>14536v15</t>
  </si>
  <si>
    <t>0083884MOR</t>
  </si>
  <si>
    <t>E side, Chinese Collection; EE-65/07-11. Cultivated grounds, l'st level above DuPage River; open areas.</t>
  </si>
  <si>
    <t>0045000MOR</t>
  </si>
  <si>
    <t>Tiliaceae collection Z-55/area</t>
  </si>
  <si>
    <t>2793V89</t>
  </si>
  <si>
    <t>Tilia maximowicziana Shiras.</t>
  </si>
  <si>
    <t>0050029MOR</t>
  </si>
  <si>
    <t>Japan: AA-58/39-86</t>
  </si>
  <si>
    <t>13926v13</t>
  </si>
  <si>
    <t>0064263MOR</t>
  </si>
  <si>
    <t>Korea Collection, R-64/73-14</t>
  </si>
  <si>
    <t>6912V94</t>
  </si>
  <si>
    <t>0050021MOR</t>
  </si>
  <si>
    <t>Korea: R-65/73-14</t>
  </si>
  <si>
    <t>14233v14</t>
  </si>
  <si>
    <t>Aloian, J</t>
  </si>
  <si>
    <t>0076015MOR</t>
  </si>
  <si>
    <t>Tilia Collection, east of road, V-55/2-7.5</t>
  </si>
  <si>
    <t>0050028MOR</t>
  </si>
  <si>
    <t>Z-55/30-00</t>
  </si>
  <si>
    <t>3655V90</t>
  </si>
  <si>
    <t>0050025MOR</t>
  </si>
  <si>
    <t>Korea Collection, R-63/90-89</t>
  </si>
  <si>
    <t>6902V94</t>
  </si>
  <si>
    <t>Jarvis, B</t>
  </si>
  <si>
    <t>0050023MOR</t>
  </si>
  <si>
    <t>8924V99</t>
  </si>
  <si>
    <t>Ayers, G</t>
  </si>
  <si>
    <t>0050020MOR</t>
  </si>
  <si>
    <t>Tilia Collection, Z-55/90-90</t>
  </si>
  <si>
    <t>6727V94</t>
  </si>
  <si>
    <t>0050024MOR</t>
  </si>
  <si>
    <t>Japan: AA-58/46-55</t>
  </si>
  <si>
    <t>13927v13</t>
  </si>
  <si>
    <t>0064264MOR</t>
  </si>
  <si>
    <t>Tiliaceae collection Z-55/30-00</t>
  </si>
  <si>
    <t>1309V87</t>
  </si>
  <si>
    <t>0050027MOR</t>
  </si>
  <si>
    <t>Korea Collection, R-64/60-83</t>
  </si>
  <si>
    <t>6911V94</t>
  </si>
  <si>
    <t>0050022MOR</t>
  </si>
  <si>
    <t>Tilia Collection, V-55/20-75</t>
  </si>
  <si>
    <t>9277V01</t>
  </si>
  <si>
    <t>0050019MOR</t>
  </si>
  <si>
    <t>Tilia Collection, U-55/00-10, east of road.</t>
  </si>
  <si>
    <t>0049477MOR</t>
  </si>
  <si>
    <t>Korean group near R-63.</t>
  </si>
  <si>
    <t>0049562MOR</t>
  </si>
  <si>
    <t>Linden collection by DuPage River at Z-55/90-90.</t>
  </si>
  <si>
    <t>0049561MOR</t>
  </si>
  <si>
    <t>East side of Arboretum near DuPage River, Y-55/area.</t>
  </si>
  <si>
    <t>Tilia insularis Nakai</t>
  </si>
  <si>
    <t>0049564MOR</t>
  </si>
  <si>
    <t>Tiliaceae Collection, Y-55/89-51</t>
  </si>
  <si>
    <t>6808V94</t>
  </si>
  <si>
    <t>0049563MOR</t>
  </si>
  <si>
    <t>Tilia Collection, Y-55/89-51</t>
  </si>
  <si>
    <t>6726V94</t>
  </si>
  <si>
    <t>0049565MOR</t>
  </si>
  <si>
    <t>Tiliaceae: Y-55/85-55</t>
  </si>
  <si>
    <t>1311V87</t>
  </si>
  <si>
    <t>0050026MOR</t>
  </si>
  <si>
    <t>Potted plant in Research Building.</t>
  </si>
  <si>
    <t>8925V99</t>
  </si>
  <si>
    <t>Tilia henryana Szyszyl.</t>
  </si>
  <si>
    <t>0049566MOR</t>
  </si>
  <si>
    <t>[S-25 Area]</t>
  </si>
  <si>
    <t>1187V87</t>
  </si>
  <si>
    <t>0088290MOR</t>
  </si>
  <si>
    <t>[Z-53/area]</t>
  </si>
  <si>
    <t>3656V90</t>
  </si>
  <si>
    <t>0088289MOR</t>
  </si>
  <si>
    <t>Tilia Collection, [Z-54/52-73]</t>
  </si>
  <si>
    <t>6725V94</t>
  </si>
  <si>
    <t>0088288MOR</t>
  </si>
  <si>
    <t>Ground cover collection: J-45/22-92</t>
  </si>
  <si>
    <t>1433V87</t>
  </si>
  <si>
    <t>0055204MOR</t>
  </si>
  <si>
    <t>Ground cover collection J-45/07-76</t>
  </si>
  <si>
    <t>1432V87</t>
  </si>
  <si>
    <t>0055205MOR</t>
  </si>
  <si>
    <t>Fragrance Garden: LL-25/area.</t>
  </si>
  <si>
    <t>4208V90</t>
  </si>
  <si>
    <t>0055200MOR</t>
  </si>
  <si>
    <t>Ground Cover Garden: J-46/area.</t>
  </si>
  <si>
    <t>4141V90</t>
  </si>
  <si>
    <t>0055208MOR</t>
  </si>
  <si>
    <t>Ground cover collection: J45/05-96</t>
  </si>
  <si>
    <t>1434V87</t>
  </si>
  <si>
    <t>0055203MOR</t>
  </si>
  <si>
    <t>Ground Cover collection: J45/10-56</t>
  </si>
  <si>
    <t>1430V87</t>
  </si>
  <si>
    <t>0055207MOR</t>
  </si>
  <si>
    <t>Ground cover collection: J-46/29-36</t>
  </si>
  <si>
    <t>1436V87</t>
  </si>
  <si>
    <t>0055199MOR</t>
  </si>
  <si>
    <t>Ground cover collection: J-45/12-37</t>
  </si>
  <si>
    <t>1429V87</t>
  </si>
  <si>
    <t>0055206MOR</t>
  </si>
  <si>
    <t>Parking 33: L-33/19-57</t>
  </si>
  <si>
    <t>16025v18</t>
  </si>
  <si>
    <t>Tilia 'Harvest Gold'</t>
  </si>
  <si>
    <t>0098809MOR</t>
  </si>
  <si>
    <t>16267v19</t>
  </si>
  <si>
    <t>Courtney, C</t>
  </si>
  <si>
    <t>0098531MOR</t>
  </si>
  <si>
    <t>13135v11</t>
  </si>
  <si>
    <t>0057742MOR</t>
  </si>
  <si>
    <t>Teuscher, H</t>
  </si>
  <si>
    <t>0049492MOR</t>
  </si>
  <si>
    <t>Tiliaceae, V-50/40-05</t>
  </si>
  <si>
    <t>1533V87</t>
  </si>
  <si>
    <t>Bunyan, T</t>
  </si>
  <si>
    <t>Tilia × flavescens A.Braun ex Döll</t>
  </si>
  <si>
    <t>0049558MOR</t>
  </si>
  <si>
    <t>2096V88</t>
  </si>
  <si>
    <t>0049557MOR</t>
  </si>
  <si>
    <t>Tiliaceae Collection, W-56/00-20</t>
  </si>
  <si>
    <t>5881V93</t>
  </si>
  <si>
    <t>0049525MOR</t>
  </si>
  <si>
    <t>13887v13</t>
  </si>
  <si>
    <t>0065963MOR</t>
  </si>
  <si>
    <t>Tilia Collection, W-56/75-65</t>
  </si>
  <si>
    <t>5899V93</t>
  </si>
  <si>
    <t>0049543MOR</t>
  </si>
  <si>
    <t>Tiliaceae: W-57/55-50</t>
  </si>
  <si>
    <t>5893V93</t>
  </si>
  <si>
    <t>0049544MOR</t>
  </si>
  <si>
    <t>Tilia Collection, [W-56/75-65]</t>
  </si>
  <si>
    <t>0088293MOR</t>
  </si>
  <si>
    <t>Tiliaceae Collection, east of road at U-52/65-95.</t>
  </si>
  <si>
    <t>Tilia × europaea 'Tortuosa'</t>
  </si>
  <si>
    <t>0049552MOR</t>
  </si>
  <si>
    <t>Tilia, U-52/65-95</t>
  </si>
  <si>
    <t>0049554MOR</t>
  </si>
  <si>
    <t>Tilia, Z-55/70-35</t>
  </si>
  <si>
    <t>3544V90</t>
  </si>
  <si>
    <t>0049555MOR</t>
  </si>
  <si>
    <t>Near Joy Path, BB-26/25-80.</t>
  </si>
  <si>
    <t>1195V87</t>
  </si>
  <si>
    <t>0049553MOR</t>
  </si>
  <si>
    <t>Tilia Collection, Z-55/70-35</t>
  </si>
  <si>
    <t>Braham, R</t>
  </si>
  <si>
    <t>0049556MOR</t>
  </si>
  <si>
    <t>Tiliaceae, W-56/00-20</t>
  </si>
  <si>
    <t>1567V87</t>
  </si>
  <si>
    <t>0049526MOR</t>
  </si>
  <si>
    <t>0060938MOR</t>
  </si>
  <si>
    <t>Colored Foliage, K-89/50-80</t>
  </si>
  <si>
    <t>4910V91</t>
  </si>
  <si>
    <t>0049523MOR</t>
  </si>
  <si>
    <t>13952v13</t>
  </si>
  <si>
    <t>0065971MOR</t>
  </si>
  <si>
    <t>Aesculus Collection, M-92/90-15</t>
  </si>
  <si>
    <t>4902V91</t>
  </si>
  <si>
    <t>0049524MOR</t>
  </si>
  <si>
    <t>Colored Foliage Collection, K-89/08-55</t>
  </si>
  <si>
    <t>6730V94</t>
  </si>
  <si>
    <t>0049522MOR</t>
  </si>
  <si>
    <t>Tree Evaluation Plot, Row 10, E-96/Area.</t>
  </si>
  <si>
    <t>6735V94</t>
  </si>
  <si>
    <t>0049545MOR</t>
  </si>
  <si>
    <t>Tree Evaluation Plot, row 10, E-96/Area.</t>
  </si>
  <si>
    <t>6737V94</t>
  </si>
  <si>
    <t>0049546MOR</t>
  </si>
  <si>
    <t>Rosaceae Collection, D-64/64-93</t>
  </si>
  <si>
    <t>5467V92</t>
  </si>
  <si>
    <t>0049551MOR</t>
  </si>
  <si>
    <t>N-38/10-10</t>
  </si>
  <si>
    <t>0049549MOR</t>
  </si>
  <si>
    <t>Tilia: T-53/65-85</t>
  </si>
  <si>
    <t>13928v13</t>
  </si>
  <si>
    <t>0064245MOR</t>
  </si>
  <si>
    <t>Display Collection, B-48/45-35</t>
  </si>
  <si>
    <t>5512V92</t>
  </si>
  <si>
    <t>0049550MOR</t>
  </si>
  <si>
    <t>6736V94</t>
  </si>
  <si>
    <t>0049547MOR</t>
  </si>
  <si>
    <t>Tiliaceae Collection, [AA-53/36-78]</t>
  </si>
  <si>
    <t>6809V94</t>
  </si>
  <si>
    <t>Tilia cordata subsp. sibirica (M.B.Bayer) Pigott</t>
  </si>
  <si>
    <t>0071249MOR</t>
  </si>
  <si>
    <t>Tilia Collection, [AA-53/36-78]</t>
  </si>
  <si>
    <t>6565V94</t>
  </si>
  <si>
    <t>0071217MOR</t>
  </si>
  <si>
    <t>[Z-55/area]</t>
  </si>
  <si>
    <t>3546V90</t>
  </si>
  <si>
    <t>0071251MOR</t>
  </si>
  <si>
    <t>6720V94</t>
  </si>
  <si>
    <t>0071218MOR</t>
  </si>
  <si>
    <t>[AA-55/area]</t>
  </si>
  <si>
    <t>3545V90</t>
  </si>
  <si>
    <t>0071250MOR</t>
  </si>
  <si>
    <t>Tilia, U-55/35-25</t>
  </si>
  <si>
    <t>3651V90</t>
  </si>
  <si>
    <t>0049480MOR</t>
  </si>
  <si>
    <t>Along DuPage River.</t>
  </si>
  <si>
    <t>0049484MOR</t>
  </si>
  <si>
    <t>Tilia, U-55/40-55</t>
  </si>
  <si>
    <t>3650V90</t>
  </si>
  <si>
    <t>0049479MOR</t>
  </si>
  <si>
    <t>Tilia Collection; W-54/00-80</t>
  </si>
  <si>
    <t>0049485MOR</t>
  </si>
  <si>
    <t>Southwest Cloverleaf, N-38/10-10</t>
  </si>
  <si>
    <t>0040419MOR</t>
  </si>
  <si>
    <t>0040420MOR</t>
  </si>
  <si>
    <t>Near west cloverleaf, N-38/10-10.</t>
  </si>
  <si>
    <t>717V86</t>
  </si>
  <si>
    <t>0049548MOR</t>
  </si>
  <si>
    <t>Hamamelidales Collection; U-50/10-30</t>
  </si>
  <si>
    <t>0049488MOR</t>
  </si>
  <si>
    <t>Tilia Collection, Z-53/76-53</t>
  </si>
  <si>
    <t>6567V94</t>
  </si>
  <si>
    <t>0049515MOR</t>
  </si>
  <si>
    <t>Fragrance Garden, LL-25/area</t>
  </si>
  <si>
    <t>6559V94</t>
  </si>
  <si>
    <t>0049507MOR</t>
  </si>
  <si>
    <t>Display group just east of greenhouses and SE from the Administration Building near C-44.</t>
  </si>
  <si>
    <t>0049493MOR</t>
  </si>
  <si>
    <t>Near Visitor Center, L-46/25-55.</t>
  </si>
  <si>
    <t>293V84</t>
  </si>
  <si>
    <t>0049534MOR</t>
  </si>
  <si>
    <t>12305v10</t>
  </si>
  <si>
    <t>Keller, M</t>
  </si>
  <si>
    <t>0056270MOR</t>
  </si>
  <si>
    <t>Tilia Collection, U-50/25-15</t>
  </si>
  <si>
    <t>6662V94</t>
  </si>
  <si>
    <t>0049514MOR</t>
  </si>
  <si>
    <t>Near Administration Building; H-40/area.</t>
  </si>
  <si>
    <t>3557V90</t>
  </si>
  <si>
    <t>0049495MOR</t>
  </si>
  <si>
    <t>U-50/35-30</t>
  </si>
  <si>
    <t>6664V94</t>
  </si>
  <si>
    <t>0049505MOR</t>
  </si>
  <si>
    <t>Tiliaceae Collection, AA-54/80-55</t>
  </si>
  <si>
    <t>4855V91</t>
  </si>
  <si>
    <t>0049537MOR</t>
  </si>
  <si>
    <t>Southern Europe Collection; W-35/70-58</t>
  </si>
  <si>
    <t>6773V94</t>
  </si>
  <si>
    <t>0049498MOR</t>
  </si>
  <si>
    <t>13855v13</t>
  </si>
  <si>
    <t>0064033MOR</t>
  </si>
  <si>
    <t>Tilia Collection, X-56/50-40</t>
  </si>
  <si>
    <t>5877V93</t>
  </si>
  <si>
    <t>0049516MOR</t>
  </si>
  <si>
    <t>Godshalk Meadow: M-30/65-60.</t>
  </si>
  <si>
    <t>14932v16</t>
  </si>
  <si>
    <t>0091047MOR</t>
  </si>
  <si>
    <t>Fragrance Garden, JJ-25/Area</t>
  </si>
  <si>
    <t>8950V99</t>
  </si>
  <si>
    <t>0049506MOR</t>
  </si>
  <si>
    <t>Tilia: W-56/45-25</t>
  </si>
  <si>
    <t>13892v13</t>
  </si>
  <si>
    <t>Casey, A</t>
  </si>
  <si>
    <t>0065632MOR</t>
  </si>
  <si>
    <t>Tilia Collection, X-56/15-35</t>
  </si>
  <si>
    <t>0049527MOR</t>
  </si>
  <si>
    <t>Near Meadow Lake; S-47/60-50.</t>
  </si>
  <si>
    <t>4653V91</t>
  </si>
  <si>
    <t>0049497MOR</t>
  </si>
  <si>
    <t>5878V93</t>
  </si>
  <si>
    <t>0049540MOR</t>
  </si>
  <si>
    <t>Tilia Collection, W-56/45-25</t>
  </si>
  <si>
    <t>5898V93</t>
  </si>
  <si>
    <t>0049509MOR</t>
  </si>
  <si>
    <t>Tilia Collection, X-56/15-35, east side of road.</t>
  </si>
  <si>
    <t>0049531MOR</t>
  </si>
  <si>
    <t>Southern European Collection, W-35/29-68</t>
  </si>
  <si>
    <t>3827V90</t>
  </si>
  <si>
    <t>0049542MOR</t>
  </si>
  <si>
    <t>Tilia: W-56/80-35</t>
  </si>
  <si>
    <t>13851v13</t>
  </si>
  <si>
    <t>Sachdev, S</t>
  </si>
  <si>
    <t>0064271MOR</t>
  </si>
  <si>
    <t>Tilia: X-55/50-55</t>
  </si>
  <si>
    <t>13852v13</t>
  </si>
  <si>
    <t>0064272MOR</t>
  </si>
  <si>
    <t>Tilia: X-55/62-90</t>
  </si>
  <si>
    <t>13893v13</t>
  </si>
  <si>
    <t>0065849MOR</t>
  </si>
  <si>
    <t>3654V90</t>
  </si>
  <si>
    <t>0049533MOR</t>
  </si>
  <si>
    <t>Central &amp; West Asia, north section, DD-68/20-77.</t>
  </si>
  <si>
    <t>8790V99</t>
  </si>
  <si>
    <t>Bolger, K</t>
  </si>
  <si>
    <t>0049508MOR</t>
  </si>
  <si>
    <t>Central Europe Collection, Y-32/53-85</t>
  </si>
  <si>
    <t>5374V92</t>
  </si>
  <si>
    <t>0049538MOR</t>
  </si>
  <si>
    <t>Southern Europe, [W-35/45-43]</t>
  </si>
  <si>
    <t>6771V94</t>
  </si>
  <si>
    <t>0071255MOR</t>
  </si>
  <si>
    <t>Tiliaceae Collection; Y-55/65-90</t>
  </si>
  <si>
    <t>2794V89</t>
  </si>
  <si>
    <t>0049504MOR</t>
  </si>
  <si>
    <t>Tiliaceae Collection; U-50/35-30</t>
  </si>
  <si>
    <t>720V86</t>
  </si>
  <si>
    <t>0049490MOR</t>
  </si>
  <si>
    <t>2094V88</t>
  </si>
  <si>
    <t>0049491MOR</t>
  </si>
  <si>
    <t>Central &amp; Western Asia, north section: EE-69/09-29</t>
  </si>
  <si>
    <t>10627V07</t>
  </si>
  <si>
    <t>Penny, W</t>
  </si>
  <si>
    <t>0052868MOR</t>
  </si>
  <si>
    <t>13884v13</t>
  </si>
  <si>
    <t>0064276MOR</t>
  </si>
  <si>
    <t>Tilia Collection, X-56/50-40, east side of road.</t>
  </si>
  <si>
    <t>0049528MOR</t>
  </si>
  <si>
    <t>Display Collection, B-45/Area</t>
  </si>
  <si>
    <t>4152V90</t>
  </si>
  <si>
    <t>0049502MOR</t>
  </si>
  <si>
    <t>13885v13</t>
  </si>
  <si>
    <t>0064277MOR</t>
  </si>
  <si>
    <t>Tiliaceae Collection; W-56/45-25</t>
  </si>
  <si>
    <t>6793V94</t>
  </si>
  <si>
    <t>0049503MOR</t>
  </si>
  <si>
    <t>Central and Western Asia Collection; DD-68/20-77</t>
  </si>
  <si>
    <t>2174V88</t>
  </si>
  <si>
    <t>0049499MOR</t>
  </si>
  <si>
    <t>Tiliaceae, U-50/10-30</t>
  </si>
  <si>
    <t>722V86</t>
  </si>
  <si>
    <t>0049536MOR</t>
  </si>
  <si>
    <t>Near Visitor Center; L-46/25-55.</t>
  </si>
  <si>
    <t>1441V87</t>
  </si>
  <si>
    <t>0049494MOR</t>
  </si>
  <si>
    <t>Tilia Collection, W-57/30-15</t>
  </si>
  <si>
    <t>5894V93</t>
  </si>
  <si>
    <t>0049541MOR</t>
  </si>
  <si>
    <t>Tilia Collection, Z-51/35-35</t>
  </si>
  <si>
    <t>6717V94</t>
  </si>
  <si>
    <t>0050017MOR</t>
  </si>
  <si>
    <t>Godshalk Meadow, N side; M-30/65-60</t>
  </si>
  <si>
    <t>9626V02</t>
  </si>
  <si>
    <t>0042350MOR</t>
  </si>
  <si>
    <t>Balkan collection, N section; JJ-73/42-58</t>
  </si>
  <si>
    <t>0040854MOR</t>
  </si>
  <si>
    <t>Tilia, north section: X-55/62-90</t>
  </si>
  <si>
    <t>12304v10</t>
  </si>
  <si>
    <t>0056320MOR</t>
  </si>
  <si>
    <t>Tilia, north section; AA-53/16-97</t>
  </si>
  <si>
    <t>9703V03</t>
  </si>
  <si>
    <t>0051419MOR</t>
  </si>
  <si>
    <t>Administration Building, H-40/Area</t>
  </si>
  <si>
    <t>6085V93</t>
  </si>
  <si>
    <t>0049517MOR</t>
  </si>
  <si>
    <t>Tilia Collection, U-50/10-30</t>
  </si>
  <si>
    <t>6663V94</t>
  </si>
  <si>
    <t>0049513MOR</t>
  </si>
  <si>
    <t>Tilia Collection; X-56/15-35</t>
  </si>
  <si>
    <t>3908V90</t>
  </si>
  <si>
    <t>0049500MOR</t>
  </si>
  <si>
    <t>Tiliaceae Collection east of road; W-57/30-15.</t>
  </si>
  <si>
    <t>0049487MOR</t>
  </si>
  <si>
    <t>Tilia Collection; Y-56/00-00</t>
  </si>
  <si>
    <t>0049489MOR</t>
  </si>
  <si>
    <t>Godshalk Meadow, L-35/22-10</t>
  </si>
  <si>
    <t>3791V90</t>
  </si>
  <si>
    <t>0049535MOR</t>
  </si>
  <si>
    <t>Tiliaceae Collection; U-50/25-15</t>
  </si>
  <si>
    <t>721V86</t>
  </si>
  <si>
    <t>0049501MOR</t>
  </si>
  <si>
    <t>Central Europe Collection, BB-31/27-54</t>
  </si>
  <si>
    <t>5372V92</t>
  </si>
  <si>
    <t>0049539MOR</t>
  </si>
  <si>
    <t>1329V87</t>
  </si>
  <si>
    <t>0049496MOR</t>
  </si>
  <si>
    <t>Tiliaceae Collection east of road; W-56/45-25.</t>
  </si>
  <si>
    <t>0049486MOR</t>
  </si>
  <si>
    <t>Tilia Collection, W-54/40-85, east side of road.</t>
  </si>
  <si>
    <t>0049530MOR</t>
  </si>
  <si>
    <t>Tilia Collection, X-55/50-55, east side of road.</t>
  </si>
  <si>
    <t>0049529MOR</t>
  </si>
  <si>
    <t>Tilia Collection, W-56/80-35, east side of road.</t>
  </si>
  <si>
    <t>0049532MOR</t>
  </si>
  <si>
    <t>Tiliaceae Collection, east side of road, W-55/65-35.</t>
  </si>
  <si>
    <t>0049511MOR</t>
  </si>
  <si>
    <t>Gateway to Tree Science: D-100/49-80  Row 7</t>
  </si>
  <si>
    <t>LW 571</t>
  </si>
  <si>
    <t>0101699MOR</t>
  </si>
  <si>
    <t>14534v15</t>
  </si>
  <si>
    <t>?</t>
  </si>
  <si>
    <t>0084738MOR</t>
  </si>
  <si>
    <t>14533v15</t>
  </si>
  <si>
    <t>0082894MOR</t>
  </si>
  <si>
    <t>13894v13</t>
  </si>
  <si>
    <t>Matejka, K</t>
  </si>
  <si>
    <t>0065850MOR</t>
  </si>
  <si>
    <t>0049512MOR</t>
  </si>
  <si>
    <t>Tilia, s. section, X-55/15-25</t>
  </si>
  <si>
    <t>8559V98</t>
  </si>
  <si>
    <t>Tilia cordata 'Handsworth'</t>
  </si>
  <si>
    <t>0050016MOR</t>
  </si>
  <si>
    <t>Row 11 in Tree Evaluation Plot, E-96/Area</t>
  </si>
  <si>
    <t>6734V94</t>
  </si>
  <si>
    <t>Tilia cordata 'Greenspire'</t>
  </si>
  <si>
    <t>0050018MOR</t>
  </si>
  <si>
    <t>Tilia, north section: Z-51/35-35</t>
  </si>
  <si>
    <t>9701V03</t>
  </si>
  <si>
    <t>0051420MOR</t>
  </si>
  <si>
    <t>Meadow Lake: N-51/83-98</t>
  </si>
  <si>
    <t>14250v14</t>
  </si>
  <si>
    <t>0076037MOR</t>
  </si>
  <si>
    <t>Gateway to Tree Science: F-101/35-48</t>
  </si>
  <si>
    <t>LW 569</t>
  </si>
  <si>
    <t>0101701MOR</t>
  </si>
  <si>
    <t>18549v24</t>
  </si>
  <si>
    <t>0109214MOR</t>
  </si>
  <si>
    <t>LW369</t>
  </si>
  <si>
    <t>Tilia chingiana Hu &amp; W.C.Cheng</t>
  </si>
  <si>
    <t>0099169MOR</t>
  </si>
  <si>
    <t>Tilia Collection, AA-52/25-05</t>
  </si>
  <si>
    <t>6718V94</t>
  </si>
  <si>
    <t>0049482MOR</t>
  </si>
  <si>
    <t>Tilia Collection, U-55/40-55</t>
  </si>
  <si>
    <t>5891V93</t>
  </si>
  <si>
    <t>0049483MOR</t>
  </si>
  <si>
    <t>Tiliaceae Collection, U-55/35-25</t>
  </si>
  <si>
    <t>6795V94</t>
  </si>
  <si>
    <t>0049481MOR</t>
  </si>
  <si>
    <t>Tilia, north section: AA-52/25-05</t>
  </si>
  <si>
    <t>9702V03</t>
  </si>
  <si>
    <t>Vogel, S</t>
  </si>
  <si>
    <t>0050088MOR</t>
  </si>
  <si>
    <t>Tilia collection on east side near DuPage River by coordinates U-55/35-25.</t>
  </si>
  <si>
    <t>0049510MOR</t>
  </si>
  <si>
    <t>Korea: P-63/95-89</t>
  </si>
  <si>
    <t>13906v13</t>
  </si>
  <si>
    <t>0065853MOR</t>
  </si>
  <si>
    <t>Korea: Q-63/15-76</t>
  </si>
  <si>
    <t>13904v13</t>
  </si>
  <si>
    <t>0065852MOR</t>
  </si>
  <si>
    <t>13905v13</t>
  </si>
  <si>
    <t>0064036MOR</t>
  </si>
  <si>
    <t>11698v09</t>
  </si>
  <si>
    <t>0055677MOR</t>
  </si>
  <si>
    <t>15168v16</t>
  </si>
  <si>
    <t>Tilia amurensis subsp. amurensis</t>
  </si>
  <si>
    <t>0088479MOR</t>
  </si>
  <si>
    <t>Percent Fruit</t>
  </si>
  <si>
    <t>Percent Flowers</t>
  </si>
  <si>
    <t>Percent Buds</t>
  </si>
  <si>
    <t>Notes</t>
  </si>
  <si>
    <t>Fruits</t>
  </si>
  <si>
    <t>Flowers</t>
  </si>
  <si>
    <t>Buds</t>
  </si>
  <si>
    <t>Accounted for</t>
  </si>
  <si>
    <t>LocalityNotes</t>
  </si>
  <si>
    <t>Year</t>
  </si>
  <si>
    <t>Month</t>
  </si>
  <si>
    <t>Day</t>
  </si>
  <si>
    <t>CollectorNumber</t>
  </si>
  <si>
    <t>Collectors</t>
  </si>
  <si>
    <t>DeterminationCalcFullName</t>
  </si>
  <si>
    <t>SpecimenBarcode</t>
  </si>
  <si>
    <t>SpecimenAccession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</si>
</sst>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iam Hafkin" id="{9498ADEB-80A2-E044-A3EF-6A2E31D79BCE}" userId="" providerId="google-sheets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9" dT="2026-06-10T18:46:08.00" personId="{9498ADEB-80A2-E044-A3EF-6A2E31D79BCE}" id="{011EA033-4DD8-9449-8455-7E737DADE202}">
    <text>None in folder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407F-1DD6-FB4D-83DD-1683CEB09C8F}">
  <sheetPr>
    <outlinePr summaryBelow="0" summaryRight="0"/>
  </sheetPr>
  <dimension ref="A1:Q894"/>
  <sheetViews>
    <sheetView tabSelected="1" workbookViewId="0"/>
  </sheetViews>
  <sheetFormatPr baseColWidth="10" defaultColWidth="15.19921875" defaultRowHeight="15.75" customHeight="1" x14ac:dyDescent="0.2"/>
  <cols>
    <col min="3" max="3" width="27.796875" customWidth="1"/>
    <col min="4" max="17" width="26.59765625" customWidth="1"/>
  </cols>
  <sheetData>
    <row r="1" spans="1:17" ht="16" x14ac:dyDescent="0.2">
      <c r="A1" s="9" t="s">
        <v>1107</v>
      </c>
      <c r="B1" s="9" t="s">
        <v>1106</v>
      </c>
      <c r="C1" s="9" t="s">
        <v>1105</v>
      </c>
      <c r="D1" s="9" t="s">
        <v>1104</v>
      </c>
      <c r="E1" s="9" t="s">
        <v>1103</v>
      </c>
      <c r="F1" s="9" t="s">
        <v>1102</v>
      </c>
      <c r="G1" s="9" t="s">
        <v>1101</v>
      </c>
      <c r="H1" s="9" t="s">
        <v>1100</v>
      </c>
      <c r="I1" s="9" t="s">
        <v>1099</v>
      </c>
      <c r="J1" s="8" t="s">
        <v>1098</v>
      </c>
      <c r="K1" s="8" t="s">
        <v>1097</v>
      </c>
      <c r="L1" s="8" t="s">
        <v>1096</v>
      </c>
      <c r="M1" s="8" t="s">
        <v>1095</v>
      </c>
      <c r="N1" s="8" t="s">
        <v>1094</v>
      </c>
      <c r="O1" s="7" t="s">
        <v>1093</v>
      </c>
      <c r="P1" s="7" t="s">
        <v>1092</v>
      </c>
      <c r="Q1" s="7" t="s">
        <v>1091</v>
      </c>
    </row>
    <row r="2" spans="1:17" ht="16" x14ac:dyDescent="0.2">
      <c r="A2" s="4">
        <v>182412</v>
      </c>
      <c r="B2" s="2" t="s">
        <v>1090</v>
      </c>
      <c r="C2" s="2" t="s">
        <v>1089</v>
      </c>
      <c r="D2" s="2" t="s">
        <v>3</v>
      </c>
      <c r="E2" s="2" t="s">
        <v>1088</v>
      </c>
      <c r="F2" s="4">
        <v>25</v>
      </c>
      <c r="G2" s="4">
        <v>10</v>
      </c>
      <c r="H2" s="4">
        <v>2016</v>
      </c>
      <c r="I2" s="2" t="s">
        <v>171</v>
      </c>
      <c r="J2" s="3" t="s">
        <v>26</v>
      </c>
      <c r="K2" s="6">
        <v>0</v>
      </c>
      <c r="L2" s="6">
        <v>0</v>
      </c>
      <c r="M2" s="6">
        <v>1</v>
      </c>
      <c r="O2" s="1">
        <f>(K2/(K2+ L2 +M2))</f>
        <v>0</v>
      </c>
      <c r="P2" s="1">
        <f>(L2/(K2+ L2 +M2))</f>
        <v>0</v>
      </c>
      <c r="Q2" s="1">
        <f>(M2/(K2+ L2 +M2))</f>
        <v>1</v>
      </c>
    </row>
    <row r="3" spans="1:17" ht="17.25" customHeight="1" x14ac:dyDescent="0.2">
      <c r="A3" s="4">
        <v>170420</v>
      </c>
      <c r="B3" s="2" t="s">
        <v>1087</v>
      </c>
      <c r="C3" s="2" t="s">
        <v>166</v>
      </c>
      <c r="D3" s="2" t="s">
        <v>237</v>
      </c>
      <c r="E3" s="2" t="s">
        <v>1086</v>
      </c>
      <c r="F3" s="4">
        <v>9</v>
      </c>
      <c r="G3" s="4">
        <v>7</v>
      </c>
      <c r="H3" s="4">
        <v>2009</v>
      </c>
      <c r="I3" s="2" t="s">
        <v>168</v>
      </c>
      <c r="J3" s="3" t="s">
        <v>26</v>
      </c>
      <c r="K3" s="6">
        <v>0</v>
      </c>
      <c r="L3" s="6">
        <v>0</v>
      </c>
      <c r="M3" s="6">
        <v>7</v>
      </c>
      <c r="O3" s="1">
        <f>(K3/(K3+ L3 +M3))</f>
        <v>0</v>
      </c>
      <c r="P3" s="1">
        <f>(L3/(K3+ L3 +M3))</f>
        <v>0</v>
      </c>
      <c r="Q3" s="1">
        <f>(M3/(K3+ L3 +M3))</f>
        <v>1</v>
      </c>
    </row>
    <row r="4" spans="1:17" ht="16" x14ac:dyDescent="0.2">
      <c r="A4" s="4">
        <v>176994</v>
      </c>
      <c r="B4" s="2" t="s">
        <v>1085</v>
      </c>
      <c r="C4" s="2" t="s">
        <v>166</v>
      </c>
      <c r="D4" s="2" t="s">
        <v>219</v>
      </c>
      <c r="E4" s="2" t="s">
        <v>1084</v>
      </c>
      <c r="F4" s="4">
        <v>25</v>
      </c>
      <c r="G4" s="4">
        <v>7</v>
      </c>
      <c r="H4" s="4">
        <v>2013</v>
      </c>
      <c r="I4" s="2" t="s">
        <v>164</v>
      </c>
      <c r="J4" s="3" t="s">
        <v>26</v>
      </c>
      <c r="K4" s="6">
        <v>0</v>
      </c>
      <c r="L4" s="6">
        <v>0</v>
      </c>
      <c r="M4" s="6">
        <v>24</v>
      </c>
      <c r="O4" s="1">
        <f>(K4/(K4+ L4 +M4))</f>
        <v>0</v>
      </c>
      <c r="P4" s="1">
        <f>(L4/(K4+ L4 +M4))</f>
        <v>0</v>
      </c>
      <c r="Q4" s="1">
        <f>(M4/(K4+ L4 +M4))</f>
        <v>1</v>
      </c>
    </row>
    <row r="5" spans="1:17" ht="16" x14ac:dyDescent="0.2">
      <c r="A5" s="4">
        <v>177467</v>
      </c>
      <c r="B5" s="2" t="s">
        <v>1083</v>
      </c>
      <c r="C5" s="2" t="s">
        <v>166</v>
      </c>
      <c r="D5" s="2" t="s">
        <v>69</v>
      </c>
      <c r="E5" s="2" t="s">
        <v>1082</v>
      </c>
      <c r="F5" s="4">
        <v>25</v>
      </c>
      <c r="G5" s="4">
        <v>7</v>
      </c>
      <c r="H5" s="4">
        <v>2013</v>
      </c>
      <c r="I5" s="2" t="s">
        <v>1081</v>
      </c>
      <c r="J5" s="3" t="s">
        <v>26</v>
      </c>
      <c r="K5" s="6">
        <v>0</v>
      </c>
      <c r="L5" s="6">
        <v>0</v>
      </c>
      <c r="M5" s="6">
        <v>82</v>
      </c>
      <c r="O5" s="1">
        <f>(K5/(K5+ L5 +M5))</f>
        <v>0</v>
      </c>
      <c r="P5" s="1">
        <f>(L5/(K5+ L5 +M5))</f>
        <v>0</v>
      </c>
      <c r="Q5" s="1">
        <f>(M5/(K5+ L5 +M5))</f>
        <v>1</v>
      </c>
    </row>
    <row r="6" spans="1:17" ht="16" x14ac:dyDescent="0.2">
      <c r="A6" s="4">
        <v>177468</v>
      </c>
      <c r="B6" s="2" t="s">
        <v>1080</v>
      </c>
      <c r="C6" s="2" t="s">
        <v>166</v>
      </c>
      <c r="D6" s="2" t="s">
        <v>69</v>
      </c>
      <c r="E6" s="2" t="s">
        <v>1079</v>
      </c>
      <c r="F6" s="4">
        <v>25</v>
      </c>
      <c r="G6" s="4">
        <v>7</v>
      </c>
      <c r="H6" s="4">
        <v>2013</v>
      </c>
      <c r="I6" s="2" t="s">
        <v>1078</v>
      </c>
      <c r="J6" s="3" t="s">
        <v>26</v>
      </c>
      <c r="K6" s="6">
        <v>0</v>
      </c>
      <c r="L6" s="6">
        <v>0</v>
      </c>
      <c r="M6" s="6">
        <v>75</v>
      </c>
      <c r="O6" s="1">
        <f>(K6/(K6+ L6 +M6))</f>
        <v>0</v>
      </c>
      <c r="P6" s="1">
        <f>(L6/(K6+ L6 +M6))</f>
        <v>0</v>
      </c>
      <c r="Q6" s="1">
        <f>(M6/(K6+ L6 +M6))</f>
        <v>1</v>
      </c>
    </row>
    <row r="7" spans="1:17" ht="16" x14ac:dyDescent="0.2">
      <c r="A7" s="4">
        <v>34695</v>
      </c>
      <c r="B7" s="2" t="s">
        <v>1077</v>
      </c>
      <c r="C7" s="2" t="s">
        <v>15</v>
      </c>
      <c r="D7" s="2" t="s">
        <v>14</v>
      </c>
      <c r="E7" s="4">
        <v>4450</v>
      </c>
      <c r="F7" s="4">
        <v>6</v>
      </c>
      <c r="G7" s="4">
        <v>10</v>
      </c>
      <c r="H7" s="4">
        <v>1978</v>
      </c>
      <c r="I7" s="2" t="s">
        <v>1076</v>
      </c>
      <c r="J7" s="3" t="s">
        <v>26</v>
      </c>
      <c r="K7" s="6">
        <v>0</v>
      </c>
      <c r="L7" s="6">
        <v>0</v>
      </c>
      <c r="M7" s="6">
        <v>7</v>
      </c>
      <c r="O7" s="1">
        <f>(K7/(K7+ L7 +M7))</f>
        <v>0</v>
      </c>
      <c r="P7" s="1">
        <f>(L7/(K7+ L7 +M7))</f>
        <v>0</v>
      </c>
      <c r="Q7" s="1">
        <f>(M7/(K7+ L7 +M7))</f>
        <v>1</v>
      </c>
    </row>
    <row r="8" spans="1:17" ht="16" x14ac:dyDescent="0.2">
      <c r="A8" s="4">
        <v>158514</v>
      </c>
      <c r="B8" s="2" t="s">
        <v>1075</v>
      </c>
      <c r="C8" s="2" t="s">
        <v>15</v>
      </c>
      <c r="D8" s="2" t="s">
        <v>1074</v>
      </c>
      <c r="E8" s="2" t="s">
        <v>1073</v>
      </c>
      <c r="F8" s="4">
        <v>30</v>
      </c>
      <c r="G8" s="4">
        <v>6</v>
      </c>
      <c r="H8" s="4">
        <v>2003</v>
      </c>
      <c r="I8" s="2" t="s">
        <v>1072</v>
      </c>
      <c r="J8" s="3" t="s">
        <v>26</v>
      </c>
      <c r="K8" s="6">
        <v>117</v>
      </c>
      <c r="L8" s="6">
        <v>68</v>
      </c>
      <c r="M8" s="6">
        <v>0</v>
      </c>
      <c r="O8" s="1">
        <f>(K8/(K8+ L8 +M8))</f>
        <v>0.63243243243243241</v>
      </c>
      <c r="P8" s="1">
        <f>(L8/(K8+ L8 +M8))</f>
        <v>0.36756756756756759</v>
      </c>
      <c r="Q8" s="1">
        <f>(M8/(K8+ L8 +M8))</f>
        <v>0</v>
      </c>
    </row>
    <row r="9" spans="1:17" ht="16" x14ac:dyDescent="0.2">
      <c r="A9" s="4">
        <v>122218</v>
      </c>
      <c r="B9" s="2" t="s">
        <v>1071</v>
      </c>
      <c r="C9" s="2" t="s">
        <v>15</v>
      </c>
      <c r="D9" s="2" t="s">
        <v>59</v>
      </c>
      <c r="E9" s="2" t="s">
        <v>1070</v>
      </c>
      <c r="F9" s="4">
        <v>25</v>
      </c>
      <c r="G9" s="4">
        <v>8</v>
      </c>
      <c r="H9" s="4">
        <v>1994</v>
      </c>
      <c r="I9" s="2" t="s">
        <v>1069</v>
      </c>
      <c r="J9" s="3" t="s">
        <v>26</v>
      </c>
      <c r="K9" s="6">
        <v>0</v>
      </c>
      <c r="L9" s="6">
        <v>0</v>
      </c>
      <c r="M9" s="6">
        <v>21</v>
      </c>
      <c r="O9" s="1">
        <f>(K9/(K9+ L9 +M9))</f>
        <v>0</v>
      </c>
      <c r="P9" s="1">
        <f>(L9/(K9+ L9 +M9))</f>
        <v>0</v>
      </c>
      <c r="Q9" s="1">
        <f>(M9/(K9+ L9 +M9))</f>
        <v>1</v>
      </c>
    </row>
    <row r="10" spans="1:17" ht="16" x14ac:dyDescent="0.2">
      <c r="A10" s="4">
        <v>112864</v>
      </c>
      <c r="B10" s="2" t="s">
        <v>1068</v>
      </c>
      <c r="C10" s="2" t="s">
        <v>15</v>
      </c>
      <c r="D10" s="2" t="s">
        <v>370</v>
      </c>
      <c r="E10" s="2" t="s">
        <v>1067</v>
      </c>
      <c r="F10" s="4">
        <v>23</v>
      </c>
      <c r="G10" s="4">
        <v>6</v>
      </c>
      <c r="H10" s="4">
        <v>1993</v>
      </c>
      <c r="I10" s="2" t="s">
        <v>1066</v>
      </c>
      <c r="J10" s="3" t="s">
        <v>26</v>
      </c>
      <c r="K10" s="6">
        <v>91</v>
      </c>
      <c r="L10" s="6">
        <v>19</v>
      </c>
      <c r="M10" s="6">
        <v>0</v>
      </c>
      <c r="O10" s="1">
        <f>(K10/(K10+ L10 +M10))</f>
        <v>0.82727272727272727</v>
      </c>
      <c r="P10" s="1">
        <f>(L10/(K10+ L10 +M10))</f>
        <v>0.17272727272727273</v>
      </c>
      <c r="Q10" s="1">
        <f>(M10/(K10+ L10 +M10))</f>
        <v>0</v>
      </c>
    </row>
    <row r="11" spans="1:17" ht="16" x14ac:dyDescent="0.2">
      <c r="A11" s="4">
        <v>120577</v>
      </c>
      <c r="B11" s="2" t="s">
        <v>1065</v>
      </c>
      <c r="C11" s="2" t="s">
        <v>15</v>
      </c>
      <c r="D11" s="2" t="s">
        <v>73</v>
      </c>
      <c r="E11" s="2" t="s">
        <v>1064</v>
      </c>
      <c r="F11" s="4">
        <v>16</v>
      </c>
      <c r="G11" s="4">
        <v>8</v>
      </c>
      <c r="H11" s="4">
        <v>1994</v>
      </c>
      <c r="I11" s="2" t="s">
        <v>1063</v>
      </c>
      <c r="J11" s="3" t="s">
        <v>26</v>
      </c>
      <c r="K11" s="6">
        <v>0</v>
      </c>
      <c r="L11" s="6">
        <v>0</v>
      </c>
      <c r="M11" s="6">
        <v>12</v>
      </c>
      <c r="O11" s="1">
        <f>(K11/(K11+ L11 +M11))</f>
        <v>0</v>
      </c>
      <c r="P11" s="1">
        <f>(L11/(K11+ L11 +M11))</f>
        <v>0</v>
      </c>
      <c r="Q11" s="1">
        <f>(M11/(K11+ L11 +M11))</f>
        <v>1</v>
      </c>
    </row>
    <row r="12" spans="1:17" ht="16" x14ac:dyDescent="0.2">
      <c r="A12" s="4">
        <v>187831</v>
      </c>
      <c r="B12" s="2" t="s">
        <v>1062</v>
      </c>
      <c r="C12" s="2" t="s">
        <v>1061</v>
      </c>
      <c r="D12" s="2" t="s">
        <v>8</v>
      </c>
      <c r="E12" s="2" t="s">
        <v>1060</v>
      </c>
      <c r="F12" s="4">
        <v>13</v>
      </c>
      <c r="G12" s="4">
        <v>9</v>
      </c>
      <c r="H12" s="4">
        <v>2018</v>
      </c>
      <c r="I12" s="2" t="s">
        <v>123</v>
      </c>
      <c r="J12" s="3" t="s">
        <v>26</v>
      </c>
      <c r="K12" s="6">
        <v>0</v>
      </c>
      <c r="L12" s="6">
        <v>0</v>
      </c>
      <c r="M12" s="6">
        <v>0</v>
      </c>
      <c r="O12" s="1" t="e">
        <f>(K12/(K12+ L12 +M12))</f>
        <v>#DIV/0!</v>
      </c>
      <c r="P12" s="1" t="e">
        <f>(L12/(K12+ L12 +M12))</f>
        <v>#DIV/0!</v>
      </c>
      <c r="Q12" s="1" t="e">
        <f>(M12/(K12+ L12 +M12))</f>
        <v>#DIV/0!</v>
      </c>
    </row>
    <row r="13" spans="1:17" ht="16" x14ac:dyDescent="0.2">
      <c r="A13" s="4">
        <v>193013</v>
      </c>
      <c r="B13" s="2" t="s">
        <v>1059</v>
      </c>
      <c r="C13" s="2" t="s">
        <v>52</v>
      </c>
      <c r="D13" s="2" t="s">
        <v>23</v>
      </c>
      <c r="E13" s="2" t="s">
        <v>1058</v>
      </c>
      <c r="F13" s="4">
        <v>22</v>
      </c>
      <c r="G13" s="4">
        <v>8</v>
      </c>
      <c r="H13" s="4">
        <v>2024</v>
      </c>
      <c r="I13" s="2" t="s">
        <v>50</v>
      </c>
      <c r="J13" s="3" t="s">
        <v>26</v>
      </c>
      <c r="K13" s="6">
        <v>0</v>
      </c>
      <c r="L13" s="6">
        <v>0</v>
      </c>
      <c r="M13" s="6">
        <v>6</v>
      </c>
      <c r="O13" s="1">
        <f>(K13/(K13+ L13 +M13))</f>
        <v>0</v>
      </c>
      <c r="P13" s="1">
        <f>(L13/(K13+ L13 +M13))</f>
        <v>0</v>
      </c>
      <c r="Q13" s="1">
        <f>(M13/(K13+ L13 +M13))</f>
        <v>1</v>
      </c>
    </row>
    <row r="14" spans="1:17" ht="16" x14ac:dyDescent="0.2">
      <c r="A14" s="4">
        <v>190637</v>
      </c>
      <c r="B14" s="2" t="s">
        <v>1057</v>
      </c>
      <c r="C14" s="2" t="s">
        <v>1047</v>
      </c>
      <c r="D14" s="2" t="s">
        <v>8</v>
      </c>
      <c r="E14" s="2" t="s">
        <v>1056</v>
      </c>
      <c r="F14" s="4">
        <v>23</v>
      </c>
      <c r="G14" s="4">
        <v>9</v>
      </c>
      <c r="H14" s="4">
        <v>2020</v>
      </c>
      <c r="I14" s="2" t="s">
        <v>1055</v>
      </c>
      <c r="J14" s="3" t="s">
        <v>26</v>
      </c>
      <c r="K14" s="6">
        <v>0</v>
      </c>
      <c r="L14" s="6">
        <v>0</v>
      </c>
      <c r="M14" s="6">
        <v>0</v>
      </c>
      <c r="O14" s="1" t="e">
        <f>(K14/(K14+ L14 +M14))</f>
        <v>#DIV/0!</v>
      </c>
      <c r="P14" s="1" t="e">
        <f>(L14/(K14+ L14 +M14))</f>
        <v>#DIV/0!</v>
      </c>
      <c r="Q14" s="1" t="e">
        <f>(M14/(K14+ L14 +M14))</f>
        <v>#DIV/0!</v>
      </c>
    </row>
    <row r="15" spans="1:17" ht="16" x14ac:dyDescent="0.2">
      <c r="A15" s="4">
        <v>179435</v>
      </c>
      <c r="B15" s="2" t="s">
        <v>1054</v>
      </c>
      <c r="C15" s="2" t="s">
        <v>1047</v>
      </c>
      <c r="D15" s="2" t="s">
        <v>237</v>
      </c>
      <c r="E15" s="2" t="s">
        <v>1053</v>
      </c>
      <c r="F15" s="4">
        <v>24</v>
      </c>
      <c r="G15" s="4">
        <v>7</v>
      </c>
      <c r="H15" s="4">
        <v>2014</v>
      </c>
      <c r="I15" s="2" t="s">
        <v>1052</v>
      </c>
      <c r="J15" s="3" t="s">
        <v>26</v>
      </c>
      <c r="K15" s="6">
        <v>0</v>
      </c>
      <c r="L15" s="6">
        <v>0</v>
      </c>
      <c r="M15" s="6">
        <v>18</v>
      </c>
      <c r="O15" s="1">
        <f>(K15/(K15+ L15 +M15))</f>
        <v>0</v>
      </c>
      <c r="P15" s="1">
        <f>(L15/(K15+ L15 +M15))</f>
        <v>0</v>
      </c>
      <c r="Q15" s="1">
        <f>(M15/(K15+ L15 +M15))</f>
        <v>1</v>
      </c>
    </row>
    <row r="16" spans="1:17" ht="16" x14ac:dyDescent="0.2">
      <c r="A16" s="4">
        <v>158959</v>
      </c>
      <c r="B16" s="2" t="s">
        <v>1051</v>
      </c>
      <c r="C16" s="2" t="s">
        <v>1047</v>
      </c>
      <c r="D16" s="2" t="s">
        <v>73</v>
      </c>
      <c r="E16" s="2" t="s">
        <v>1050</v>
      </c>
      <c r="F16" s="4">
        <v>30</v>
      </c>
      <c r="G16" s="4">
        <v>6</v>
      </c>
      <c r="H16" s="4">
        <v>2003</v>
      </c>
      <c r="I16" s="2" t="s">
        <v>1049</v>
      </c>
      <c r="J16" s="3" t="s">
        <v>26</v>
      </c>
      <c r="K16" s="6">
        <v>41</v>
      </c>
      <c r="L16" s="6">
        <v>101</v>
      </c>
      <c r="M16" s="6">
        <v>2</v>
      </c>
      <c r="O16" s="1">
        <f>(K16/(K16+ L16 +M16))</f>
        <v>0.28472222222222221</v>
      </c>
      <c r="P16" s="1">
        <f>(L16/(K16+ L16 +M16))</f>
        <v>0.70138888888888884</v>
      </c>
      <c r="Q16" s="1">
        <f>(M16/(K16+ L16 +M16))</f>
        <v>1.3888888888888888E-2</v>
      </c>
    </row>
    <row r="17" spans="1:17" ht="16" x14ac:dyDescent="0.2">
      <c r="A17" s="4">
        <v>120627</v>
      </c>
      <c r="B17" s="2" t="s">
        <v>1048</v>
      </c>
      <c r="C17" s="2" t="s">
        <v>1047</v>
      </c>
      <c r="D17" s="2" t="s">
        <v>250</v>
      </c>
      <c r="E17" s="2" t="s">
        <v>1046</v>
      </c>
      <c r="F17" s="4">
        <v>16</v>
      </c>
      <c r="G17" s="4">
        <v>8</v>
      </c>
      <c r="H17" s="4">
        <v>1994</v>
      </c>
      <c r="I17" s="2" t="s">
        <v>1045</v>
      </c>
      <c r="J17" s="3" t="s">
        <v>26</v>
      </c>
      <c r="K17" s="6">
        <v>0</v>
      </c>
      <c r="L17" s="6">
        <v>0</v>
      </c>
      <c r="M17" s="6">
        <v>4</v>
      </c>
      <c r="O17" s="1">
        <f>(K17/(K17+ L17 +M17))</f>
        <v>0</v>
      </c>
      <c r="P17" s="1">
        <f>(L17/(K17+ L17 +M17))</f>
        <v>0</v>
      </c>
      <c r="Q17" s="1">
        <f>(M17/(K17+ L17 +M17))</f>
        <v>1</v>
      </c>
    </row>
    <row r="18" spans="1:17" ht="16" x14ac:dyDescent="0.2">
      <c r="A18" s="4">
        <v>142755</v>
      </c>
      <c r="B18" s="2" t="s">
        <v>1044</v>
      </c>
      <c r="C18" s="2" t="s">
        <v>1043</v>
      </c>
      <c r="D18" s="2" t="s">
        <v>271</v>
      </c>
      <c r="E18" s="2" t="s">
        <v>1042</v>
      </c>
      <c r="F18" s="4">
        <v>28</v>
      </c>
      <c r="G18" s="4">
        <v>6</v>
      </c>
      <c r="H18" s="4">
        <v>1998</v>
      </c>
      <c r="I18" s="2" t="s">
        <v>1041</v>
      </c>
      <c r="J18" s="3" t="s">
        <v>26</v>
      </c>
      <c r="K18" s="6">
        <v>0</v>
      </c>
      <c r="L18" s="6">
        <v>7</v>
      </c>
      <c r="M18" s="6">
        <v>59</v>
      </c>
      <c r="O18" s="1">
        <f>(K18/(K18+ L18 +M18))</f>
        <v>0</v>
      </c>
      <c r="P18" s="1">
        <f>(L18/(K18+ L18 +M18))</f>
        <v>0.10606060606060606</v>
      </c>
      <c r="Q18" s="1">
        <f>(M18/(K18+ L18 +M18))</f>
        <v>0.89393939393939392</v>
      </c>
    </row>
    <row r="19" spans="1:17" ht="16" x14ac:dyDescent="0.2">
      <c r="A19" s="4">
        <v>138381</v>
      </c>
      <c r="B19" s="2" t="s">
        <v>1040</v>
      </c>
      <c r="C19" s="2" t="s">
        <v>12</v>
      </c>
      <c r="D19" s="2" t="s">
        <v>14</v>
      </c>
      <c r="E19" s="4">
        <v>7847</v>
      </c>
      <c r="F19" s="4">
        <v>13</v>
      </c>
      <c r="G19" s="4">
        <v>8</v>
      </c>
      <c r="H19" s="4">
        <v>1997</v>
      </c>
      <c r="I19" s="2" t="s">
        <v>872</v>
      </c>
      <c r="J19" s="3" t="s">
        <v>26</v>
      </c>
      <c r="K19" s="6">
        <v>0</v>
      </c>
      <c r="L19" s="6">
        <v>0</v>
      </c>
      <c r="M19" s="6">
        <v>63</v>
      </c>
      <c r="O19" s="1">
        <f>(K19/(K19+ L19 +M19))</f>
        <v>0</v>
      </c>
      <c r="P19" s="1">
        <f>(L19/(K19+ L19 +M19))</f>
        <v>0</v>
      </c>
      <c r="Q19" s="1">
        <f>(M19/(K19+ L19 +M19))</f>
        <v>1</v>
      </c>
    </row>
    <row r="20" spans="1:17" ht="16" x14ac:dyDescent="0.2">
      <c r="A20" s="4">
        <v>177466</v>
      </c>
      <c r="B20" s="2" t="s">
        <v>1039</v>
      </c>
      <c r="C20" s="2" t="s">
        <v>12</v>
      </c>
      <c r="D20" s="2" t="s">
        <v>1038</v>
      </c>
      <c r="E20" s="2" t="s">
        <v>1037</v>
      </c>
      <c r="F20" s="4">
        <v>23</v>
      </c>
      <c r="G20" s="4">
        <v>7</v>
      </c>
      <c r="H20" s="4">
        <v>2013</v>
      </c>
      <c r="I20" s="2" t="s">
        <v>904</v>
      </c>
      <c r="J20" s="3" t="s">
        <v>26</v>
      </c>
      <c r="K20" s="6">
        <v>0</v>
      </c>
      <c r="L20" s="6">
        <v>0</v>
      </c>
      <c r="M20" s="6">
        <v>31</v>
      </c>
      <c r="O20" s="1">
        <f>(K20/(K20+ L20 +M20))</f>
        <v>0</v>
      </c>
      <c r="P20" s="1">
        <f>(L20/(K20+ L20 +M20))</f>
        <v>0</v>
      </c>
      <c r="Q20" s="1">
        <f>(M20/(K20+ L20 +M20))</f>
        <v>1</v>
      </c>
    </row>
    <row r="21" spans="1:17" ht="16" x14ac:dyDescent="0.2">
      <c r="A21" s="4">
        <v>181628</v>
      </c>
      <c r="B21" s="2" t="s">
        <v>1036</v>
      </c>
      <c r="C21" s="2" t="s">
        <v>12</v>
      </c>
      <c r="D21" s="2" t="s">
        <v>23</v>
      </c>
      <c r="E21" s="2" t="s">
        <v>1035</v>
      </c>
      <c r="F21" s="4">
        <v>28</v>
      </c>
      <c r="G21" s="4">
        <v>7</v>
      </c>
      <c r="H21" s="4">
        <v>2015</v>
      </c>
      <c r="I21" s="2" t="s">
        <v>927</v>
      </c>
      <c r="J21" s="3" t="s">
        <v>26</v>
      </c>
      <c r="K21" s="6">
        <v>0</v>
      </c>
      <c r="L21" s="6">
        <v>0</v>
      </c>
      <c r="M21" s="6">
        <v>34</v>
      </c>
      <c r="O21" s="1">
        <f>(K21/(K21+ L21 +M21))</f>
        <v>0</v>
      </c>
      <c r="P21" s="1">
        <f>(L21/(K21+ L21 +M21))</f>
        <v>0</v>
      </c>
      <c r="Q21" s="1">
        <f>(M21/(K21+ L21 +M21))</f>
        <v>1</v>
      </c>
    </row>
    <row r="22" spans="1:17" ht="16" x14ac:dyDescent="0.2">
      <c r="A22" s="4">
        <v>182181</v>
      </c>
      <c r="B22" s="2" t="s">
        <v>1034</v>
      </c>
      <c r="C22" s="2" t="s">
        <v>12</v>
      </c>
      <c r="D22" s="2" t="s">
        <v>1033</v>
      </c>
      <c r="E22" s="2" t="s">
        <v>1032</v>
      </c>
      <c r="F22" s="2"/>
      <c r="G22" s="2"/>
      <c r="H22" s="2"/>
      <c r="I22" s="2" t="s">
        <v>923</v>
      </c>
      <c r="J22" s="3" t="s">
        <v>26</v>
      </c>
      <c r="K22" s="6">
        <v>0</v>
      </c>
      <c r="L22" s="6">
        <v>0</v>
      </c>
      <c r="M22" s="6">
        <v>49</v>
      </c>
      <c r="O22" s="1">
        <f>(K22/(K22+ L22 +M22))</f>
        <v>0</v>
      </c>
      <c r="P22" s="1">
        <f>(L22/(K22+ L22 +M22))</f>
        <v>0</v>
      </c>
      <c r="Q22" s="1">
        <f>(M22/(K22+ L22 +M22))</f>
        <v>1</v>
      </c>
    </row>
    <row r="23" spans="1:17" ht="16" x14ac:dyDescent="0.2">
      <c r="A23" s="4">
        <v>190639</v>
      </c>
      <c r="B23" s="2" t="s">
        <v>1031</v>
      </c>
      <c r="C23" s="2" t="s">
        <v>12</v>
      </c>
      <c r="D23" s="2" t="s">
        <v>8</v>
      </c>
      <c r="E23" s="2" t="s">
        <v>1030</v>
      </c>
      <c r="F23" s="4">
        <v>23</v>
      </c>
      <c r="G23" s="4">
        <v>9</v>
      </c>
      <c r="H23" s="4">
        <v>2020</v>
      </c>
      <c r="I23" s="2" t="s">
        <v>1029</v>
      </c>
      <c r="J23" s="3" t="s">
        <v>26</v>
      </c>
      <c r="K23" s="6">
        <v>0</v>
      </c>
      <c r="L23" s="6">
        <v>0</v>
      </c>
      <c r="M23" s="6">
        <v>0</v>
      </c>
      <c r="O23" s="1" t="e">
        <f>(K23/(K23+ L23 +M23))</f>
        <v>#DIV/0!</v>
      </c>
      <c r="P23" s="1" t="e">
        <f>(L23/(K23+ L23 +M23))</f>
        <v>#DIV/0!</v>
      </c>
      <c r="Q23" s="1" t="e">
        <f>(M23/(K23+ L23 +M23))</f>
        <v>#DIV/0!</v>
      </c>
    </row>
    <row r="24" spans="1:17" ht="16" x14ac:dyDescent="0.2">
      <c r="A24" s="4">
        <v>36821</v>
      </c>
      <c r="B24" s="2" t="s">
        <v>1028</v>
      </c>
      <c r="C24" s="2" t="s">
        <v>12</v>
      </c>
      <c r="D24" s="2" t="s">
        <v>277</v>
      </c>
      <c r="E24" s="4">
        <v>7914</v>
      </c>
      <c r="F24" s="4">
        <v>6</v>
      </c>
      <c r="G24" s="4">
        <v>7</v>
      </c>
      <c r="H24" s="4">
        <v>1979</v>
      </c>
      <c r="I24" s="2" t="s">
        <v>1027</v>
      </c>
      <c r="J24" s="3" t="s">
        <v>26</v>
      </c>
      <c r="K24" s="6">
        <v>0</v>
      </c>
      <c r="L24" s="6">
        <v>1</v>
      </c>
      <c r="M24" s="6">
        <v>30</v>
      </c>
      <c r="O24" s="1">
        <f>(K24/(K24+ L24 +M24))</f>
        <v>0</v>
      </c>
      <c r="P24" s="1">
        <f>(L24/(K24+ L24 +M24))</f>
        <v>3.2258064516129031E-2</v>
      </c>
      <c r="Q24" s="1">
        <f>(M24/(K24+ L24 +M24))</f>
        <v>0.967741935483871</v>
      </c>
    </row>
    <row r="25" spans="1:17" ht="16" x14ac:dyDescent="0.2">
      <c r="A25" s="4">
        <v>36815</v>
      </c>
      <c r="B25" s="2" t="s">
        <v>1026</v>
      </c>
      <c r="C25" s="2" t="s">
        <v>12</v>
      </c>
      <c r="D25" s="2" t="s">
        <v>277</v>
      </c>
      <c r="E25" s="4">
        <v>7916</v>
      </c>
      <c r="F25" s="4">
        <v>6</v>
      </c>
      <c r="G25" s="4">
        <v>7</v>
      </c>
      <c r="H25" s="4">
        <v>1979</v>
      </c>
      <c r="I25" s="2" t="s">
        <v>1025</v>
      </c>
      <c r="J25" s="3" t="s">
        <v>26</v>
      </c>
      <c r="K25" s="6">
        <v>0</v>
      </c>
      <c r="L25" s="6">
        <v>9</v>
      </c>
      <c r="M25" s="6">
        <v>9</v>
      </c>
      <c r="O25" s="1">
        <f>(K25/(K25+ L25 +M25))</f>
        <v>0</v>
      </c>
      <c r="P25" s="1">
        <f>(L25/(K25+ L25 +M25))</f>
        <v>0.5</v>
      </c>
      <c r="Q25" s="1">
        <f>(M25/(K25+ L25 +M25))</f>
        <v>0.5</v>
      </c>
    </row>
    <row r="26" spans="1:17" ht="16" x14ac:dyDescent="0.2">
      <c r="A26" s="4">
        <v>36816</v>
      </c>
      <c r="B26" s="2" t="s">
        <v>1024</v>
      </c>
      <c r="C26" s="2" t="s">
        <v>12</v>
      </c>
      <c r="D26" s="2" t="s">
        <v>277</v>
      </c>
      <c r="E26" s="4">
        <v>7912</v>
      </c>
      <c r="F26" s="4">
        <v>6</v>
      </c>
      <c r="G26" s="4">
        <v>7</v>
      </c>
      <c r="H26" s="4">
        <v>1979</v>
      </c>
      <c r="I26" s="2" t="s">
        <v>1023</v>
      </c>
      <c r="J26" s="3" t="s">
        <v>26</v>
      </c>
      <c r="K26" s="6">
        <v>12</v>
      </c>
      <c r="L26" s="6">
        <v>0</v>
      </c>
      <c r="M26" s="6">
        <v>0</v>
      </c>
      <c r="O26" s="1">
        <f>(K26/(K26+ L26 +M26))</f>
        <v>1</v>
      </c>
      <c r="P26" s="1">
        <f>(L26/(K26+ L26 +M26))</f>
        <v>0</v>
      </c>
      <c r="Q26" s="1">
        <f>(M26/(K26+ L26 +M26))</f>
        <v>0</v>
      </c>
    </row>
    <row r="27" spans="1:17" ht="16" x14ac:dyDescent="0.2">
      <c r="A27" s="4">
        <v>36820</v>
      </c>
      <c r="B27" s="2" t="s">
        <v>1022</v>
      </c>
      <c r="C27" s="2" t="s">
        <v>12</v>
      </c>
      <c r="D27" s="2" t="s">
        <v>277</v>
      </c>
      <c r="E27" s="4">
        <v>7915</v>
      </c>
      <c r="F27" s="4">
        <v>6</v>
      </c>
      <c r="G27" s="4">
        <v>7</v>
      </c>
      <c r="H27" s="4">
        <v>1979</v>
      </c>
      <c r="I27" s="2" t="s">
        <v>1021</v>
      </c>
      <c r="J27" s="3" t="s">
        <v>26</v>
      </c>
      <c r="K27" s="6">
        <v>9</v>
      </c>
      <c r="L27" s="6">
        <v>40</v>
      </c>
      <c r="M27" s="6">
        <v>0</v>
      </c>
      <c r="O27" s="1">
        <f>(K27/(K27+ L27 +M27))</f>
        <v>0.18367346938775511</v>
      </c>
      <c r="P27" s="1">
        <f>(L27/(K27+ L27 +M27))</f>
        <v>0.81632653061224492</v>
      </c>
      <c r="Q27" s="1">
        <f>(M27/(K27+ L27 +M27))</f>
        <v>0</v>
      </c>
    </row>
    <row r="28" spans="1:17" ht="16" x14ac:dyDescent="0.2">
      <c r="A28" s="4">
        <v>36819</v>
      </c>
      <c r="B28" s="2" t="s">
        <v>1020</v>
      </c>
      <c r="C28" s="2" t="s">
        <v>12</v>
      </c>
      <c r="D28" s="2" t="s">
        <v>14</v>
      </c>
      <c r="E28" s="4">
        <v>4754</v>
      </c>
      <c r="F28" s="4">
        <v>6</v>
      </c>
      <c r="G28" s="4">
        <v>7</v>
      </c>
      <c r="H28" s="4">
        <v>1979</v>
      </c>
      <c r="I28" s="2" t="s">
        <v>1019</v>
      </c>
      <c r="J28" s="3" t="s">
        <v>26</v>
      </c>
      <c r="K28" s="6">
        <v>0</v>
      </c>
      <c r="L28" s="6">
        <v>0</v>
      </c>
      <c r="M28" s="6">
        <v>146</v>
      </c>
      <c r="O28" s="1">
        <f>(K28/(K28+ L28 +M28))</f>
        <v>0</v>
      </c>
      <c r="P28" s="1">
        <f>(L28/(K28+ L28 +M28))</f>
        <v>0</v>
      </c>
      <c r="Q28" s="1">
        <f>(M28/(K28+ L28 +M28))</f>
        <v>1</v>
      </c>
    </row>
    <row r="29" spans="1:17" ht="16" x14ac:dyDescent="0.2">
      <c r="A29" s="4">
        <v>74104</v>
      </c>
      <c r="B29" s="2" t="s">
        <v>1018</v>
      </c>
      <c r="C29" s="2" t="s">
        <v>12</v>
      </c>
      <c r="D29" s="2" t="s">
        <v>64</v>
      </c>
      <c r="E29" s="2" t="s">
        <v>1017</v>
      </c>
      <c r="F29" s="4">
        <v>8</v>
      </c>
      <c r="G29" s="4">
        <v>7</v>
      </c>
      <c r="H29" s="4">
        <v>1987</v>
      </c>
      <c r="I29" s="2" t="s">
        <v>910</v>
      </c>
      <c r="J29" s="3" t="s">
        <v>26</v>
      </c>
      <c r="K29" s="6">
        <v>0</v>
      </c>
      <c r="L29" s="6">
        <v>0</v>
      </c>
      <c r="M29" s="6">
        <v>45</v>
      </c>
      <c r="O29" s="1">
        <f>(K29/(K29+ L29 +M29))</f>
        <v>0</v>
      </c>
      <c r="P29" s="1">
        <f>(L29/(K29+ L29 +M29))</f>
        <v>0</v>
      </c>
      <c r="Q29" s="1">
        <f>(M29/(K29+ L29 +M29))</f>
        <v>1</v>
      </c>
    </row>
    <row r="30" spans="1:17" ht="16" x14ac:dyDescent="0.2">
      <c r="A30" s="4">
        <v>105394</v>
      </c>
      <c r="B30" s="2" t="s">
        <v>1016</v>
      </c>
      <c r="C30" s="2" t="s">
        <v>12</v>
      </c>
      <c r="D30" s="2" t="s">
        <v>73</v>
      </c>
      <c r="E30" s="2" t="s">
        <v>1015</v>
      </c>
      <c r="F30" s="4">
        <v>28</v>
      </c>
      <c r="G30" s="4">
        <v>7</v>
      </c>
      <c r="H30" s="4">
        <v>1992</v>
      </c>
      <c r="I30" s="2" t="s">
        <v>1014</v>
      </c>
      <c r="J30" s="3" t="s">
        <v>26</v>
      </c>
      <c r="K30" s="6">
        <v>0</v>
      </c>
      <c r="L30" s="6">
        <v>0</v>
      </c>
      <c r="M30" s="6">
        <v>29</v>
      </c>
      <c r="O30" s="1">
        <f>(K30/(K30+ L30 +M30))</f>
        <v>0</v>
      </c>
      <c r="P30" s="1">
        <f>(L30/(K30+ L30 +M30))</f>
        <v>0</v>
      </c>
      <c r="Q30" s="1">
        <f>(M30/(K30+ L30 +M30))</f>
        <v>1</v>
      </c>
    </row>
    <row r="31" spans="1:17" ht="16" x14ac:dyDescent="0.2">
      <c r="A31" s="4">
        <v>66535</v>
      </c>
      <c r="B31" s="2" t="s">
        <v>1013</v>
      </c>
      <c r="C31" s="2" t="s">
        <v>12</v>
      </c>
      <c r="D31" s="2" t="s">
        <v>64</v>
      </c>
      <c r="E31" s="2" t="s">
        <v>1012</v>
      </c>
      <c r="F31" s="4">
        <v>23</v>
      </c>
      <c r="G31" s="4">
        <v>6</v>
      </c>
      <c r="H31" s="4">
        <v>1986</v>
      </c>
      <c r="I31" s="2" t="s">
        <v>1011</v>
      </c>
      <c r="J31" s="3" t="s">
        <v>26</v>
      </c>
      <c r="K31" s="6">
        <v>0</v>
      </c>
      <c r="L31" s="6">
        <v>44</v>
      </c>
      <c r="M31" s="6">
        <v>10</v>
      </c>
      <c r="O31" s="1">
        <f>(K31/(K31+ L31 +M31))</f>
        <v>0</v>
      </c>
      <c r="P31" s="1">
        <f>(L31/(K31+ L31 +M31))</f>
        <v>0.81481481481481477</v>
      </c>
      <c r="Q31" s="1">
        <f>(M31/(K31+ L31 +M31))</f>
        <v>0.18518518518518517</v>
      </c>
    </row>
    <row r="32" spans="1:17" ht="16" x14ac:dyDescent="0.2">
      <c r="A32" s="4">
        <v>93844</v>
      </c>
      <c r="B32" s="2" t="s">
        <v>1010</v>
      </c>
      <c r="C32" s="2" t="s">
        <v>12</v>
      </c>
      <c r="D32" s="2" t="s">
        <v>418</v>
      </c>
      <c r="E32" s="2" t="s">
        <v>1009</v>
      </c>
      <c r="F32" s="4">
        <v>1</v>
      </c>
      <c r="G32" s="4">
        <v>8</v>
      </c>
      <c r="H32" s="4">
        <v>1990</v>
      </c>
      <c r="I32" s="2" t="s">
        <v>1008</v>
      </c>
      <c r="J32" s="3" t="s">
        <v>26</v>
      </c>
      <c r="K32" s="6">
        <v>0</v>
      </c>
      <c r="L32" s="6">
        <v>0</v>
      </c>
      <c r="M32" s="6">
        <v>24</v>
      </c>
      <c r="O32" s="1">
        <f>(K32/(K32+ L32 +M32))</f>
        <v>0</v>
      </c>
      <c r="P32" s="1">
        <f>(L32/(K32+ L32 +M32))</f>
        <v>0</v>
      </c>
      <c r="Q32" s="1">
        <f>(M32/(K32+ L32 +M32))</f>
        <v>1</v>
      </c>
    </row>
    <row r="33" spans="1:17" ht="16" x14ac:dyDescent="0.2">
      <c r="A33" s="4">
        <v>28026</v>
      </c>
      <c r="B33" s="2" t="s">
        <v>1007</v>
      </c>
      <c r="C33" s="2" t="s">
        <v>12</v>
      </c>
      <c r="D33" s="2" t="s">
        <v>309</v>
      </c>
      <c r="E33" s="4">
        <v>432</v>
      </c>
      <c r="F33" s="4">
        <v>2</v>
      </c>
      <c r="G33" s="4">
        <v>7</v>
      </c>
      <c r="H33" s="4">
        <v>1970</v>
      </c>
      <c r="I33" s="2" t="s">
        <v>1006</v>
      </c>
      <c r="J33" s="3" t="s">
        <v>26</v>
      </c>
      <c r="K33" s="6">
        <v>0</v>
      </c>
      <c r="L33" s="6">
        <v>7</v>
      </c>
      <c r="M33" s="6">
        <v>20</v>
      </c>
      <c r="O33" s="1">
        <f>(K33/(K33+ L33 +M33))</f>
        <v>0</v>
      </c>
      <c r="P33" s="1">
        <f>(L33/(K33+ L33 +M33))</f>
        <v>0.25925925925925924</v>
      </c>
      <c r="Q33" s="1">
        <f>(M33/(K33+ L33 +M33))</f>
        <v>0.7407407407407407</v>
      </c>
    </row>
    <row r="34" spans="1:17" ht="16" x14ac:dyDescent="0.2">
      <c r="A34" s="4">
        <v>36822</v>
      </c>
      <c r="B34" s="2" t="s">
        <v>1005</v>
      </c>
      <c r="C34" s="2" t="s">
        <v>12</v>
      </c>
      <c r="D34" s="2" t="s">
        <v>14</v>
      </c>
      <c r="E34" s="4">
        <v>4752</v>
      </c>
      <c r="F34" s="4">
        <v>6</v>
      </c>
      <c r="G34" s="4">
        <v>7</v>
      </c>
      <c r="H34" s="4">
        <v>1979</v>
      </c>
      <c r="I34" s="2" t="s">
        <v>1004</v>
      </c>
      <c r="J34" s="3" t="s">
        <v>26</v>
      </c>
      <c r="K34" s="6">
        <v>0</v>
      </c>
      <c r="L34" s="6">
        <v>0</v>
      </c>
      <c r="M34" s="6">
        <v>77</v>
      </c>
      <c r="O34" s="1">
        <f>(K34/(K34+ L34 +M34))</f>
        <v>0</v>
      </c>
      <c r="P34" s="1">
        <f>(L34/(K34+ L34 +M34))</f>
        <v>0</v>
      </c>
      <c r="Q34" s="1">
        <f>(M34/(K34+ L34 +M34))</f>
        <v>1</v>
      </c>
    </row>
    <row r="35" spans="1:17" ht="16" x14ac:dyDescent="0.2">
      <c r="A35" s="4">
        <v>95440</v>
      </c>
      <c r="B35" s="2" t="s">
        <v>1003</v>
      </c>
      <c r="C35" s="2" t="s">
        <v>12</v>
      </c>
      <c r="D35" s="2" t="s">
        <v>73</v>
      </c>
      <c r="E35" s="2" t="s">
        <v>1002</v>
      </c>
      <c r="F35" s="4">
        <v>14</v>
      </c>
      <c r="G35" s="4">
        <v>8</v>
      </c>
      <c r="H35" s="4">
        <v>1990</v>
      </c>
      <c r="I35" s="2" t="s">
        <v>1001</v>
      </c>
      <c r="J35" s="3" t="s">
        <v>26</v>
      </c>
      <c r="K35" s="6">
        <v>0</v>
      </c>
      <c r="L35" s="6">
        <v>0</v>
      </c>
      <c r="M35" s="6">
        <v>46</v>
      </c>
      <c r="O35" s="1">
        <f>(K35/(K35+ L35 +M35))</f>
        <v>0</v>
      </c>
      <c r="P35" s="1">
        <f>(L35/(K35+ L35 +M35))</f>
        <v>0</v>
      </c>
      <c r="Q35" s="1">
        <f>(M35/(K35+ L35 +M35))</f>
        <v>1</v>
      </c>
    </row>
    <row r="36" spans="1:17" ht="16" x14ac:dyDescent="0.2">
      <c r="A36" s="4">
        <v>120609</v>
      </c>
      <c r="B36" s="2" t="s">
        <v>1000</v>
      </c>
      <c r="C36" s="2" t="s">
        <v>12</v>
      </c>
      <c r="D36" s="2" t="s">
        <v>250</v>
      </c>
      <c r="E36" s="2" t="s">
        <v>999</v>
      </c>
      <c r="F36" s="4">
        <v>3</v>
      </c>
      <c r="G36" s="4">
        <v>8</v>
      </c>
      <c r="H36" s="4">
        <v>1994</v>
      </c>
      <c r="I36" s="2" t="s">
        <v>998</v>
      </c>
      <c r="J36" s="3" t="s">
        <v>26</v>
      </c>
      <c r="K36" s="6">
        <v>0</v>
      </c>
      <c r="L36" s="6">
        <v>0</v>
      </c>
      <c r="M36" s="6">
        <v>10</v>
      </c>
      <c r="O36" s="1">
        <f>(K36/(K36+ L36 +M36))</f>
        <v>0</v>
      </c>
      <c r="P36" s="1">
        <f>(L36/(K36+ L36 +M36))</f>
        <v>0</v>
      </c>
      <c r="Q36" s="1">
        <f>(M36/(K36+ L36 +M36))</f>
        <v>1</v>
      </c>
    </row>
    <row r="37" spans="1:17" ht="16" x14ac:dyDescent="0.2">
      <c r="A37" s="4">
        <v>114282</v>
      </c>
      <c r="B37" s="2" t="s">
        <v>997</v>
      </c>
      <c r="C37" s="2" t="s">
        <v>12</v>
      </c>
      <c r="D37" s="2" t="s">
        <v>73</v>
      </c>
      <c r="E37" s="2" t="s">
        <v>996</v>
      </c>
      <c r="F37" s="4">
        <v>3</v>
      </c>
      <c r="G37" s="4">
        <v>8</v>
      </c>
      <c r="H37" s="4">
        <v>1993</v>
      </c>
      <c r="I37" s="2" t="s">
        <v>995</v>
      </c>
      <c r="J37" s="3" t="s">
        <v>26</v>
      </c>
      <c r="K37" s="6">
        <v>0</v>
      </c>
      <c r="L37" s="6">
        <v>0</v>
      </c>
      <c r="M37" s="6">
        <v>5</v>
      </c>
      <c r="O37" s="1">
        <f>(K37/(K37+ L37 +M37))</f>
        <v>0</v>
      </c>
      <c r="P37" s="1">
        <f>(L37/(K37+ L37 +M37))</f>
        <v>0</v>
      </c>
      <c r="Q37" s="1">
        <f>(M37/(K37+ L37 +M37))</f>
        <v>1</v>
      </c>
    </row>
    <row r="38" spans="1:17" ht="16" x14ac:dyDescent="0.2">
      <c r="A38" s="4">
        <v>158960</v>
      </c>
      <c r="B38" s="2" t="s">
        <v>994</v>
      </c>
      <c r="C38" s="2" t="s">
        <v>12</v>
      </c>
      <c r="D38" s="2" t="s">
        <v>73</v>
      </c>
      <c r="E38" s="2" t="s">
        <v>993</v>
      </c>
      <c r="F38" s="4">
        <v>30</v>
      </c>
      <c r="G38" s="4">
        <v>6</v>
      </c>
      <c r="H38" s="4">
        <v>2003</v>
      </c>
      <c r="I38" s="2" t="s">
        <v>992</v>
      </c>
      <c r="J38" s="3" t="s">
        <v>26</v>
      </c>
      <c r="K38" s="6">
        <v>9</v>
      </c>
      <c r="L38" s="6">
        <v>30</v>
      </c>
      <c r="M38" s="6">
        <v>51</v>
      </c>
      <c r="O38" s="1">
        <f>(K38/(K38+ L38 +M38))</f>
        <v>0.1</v>
      </c>
      <c r="P38" s="1">
        <f>(L38/(K38+ L38 +M38))</f>
        <v>0.33333333333333331</v>
      </c>
      <c r="Q38" s="1">
        <f>(M38/(K38+ L38 +M38))</f>
        <v>0.56666666666666665</v>
      </c>
    </row>
    <row r="39" spans="1:17" ht="16" x14ac:dyDescent="0.2">
      <c r="A39" s="4">
        <v>171246</v>
      </c>
      <c r="B39" s="2" t="s">
        <v>991</v>
      </c>
      <c r="C39" s="2" t="s">
        <v>12</v>
      </c>
      <c r="D39" s="2" t="s">
        <v>292</v>
      </c>
      <c r="E39" s="2" t="s">
        <v>990</v>
      </c>
      <c r="F39" s="4">
        <v>15</v>
      </c>
      <c r="G39" s="4">
        <v>6</v>
      </c>
      <c r="H39" s="4">
        <v>2010</v>
      </c>
      <c r="I39" s="2" t="s">
        <v>989</v>
      </c>
      <c r="J39" s="3" t="s">
        <v>26</v>
      </c>
      <c r="K39" s="6">
        <v>11</v>
      </c>
      <c r="L39" s="6">
        <v>50</v>
      </c>
      <c r="M39" s="6">
        <v>0</v>
      </c>
      <c r="O39" s="1">
        <f>(K39/(K39+ L39 +M39))</f>
        <v>0.18032786885245902</v>
      </c>
      <c r="P39" s="1">
        <f>(L39/(K39+ L39 +M39))</f>
        <v>0.81967213114754101</v>
      </c>
      <c r="Q39" s="1">
        <f>(M39/(K39+ L39 +M39))</f>
        <v>0</v>
      </c>
    </row>
    <row r="40" spans="1:17" ht="16" x14ac:dyDescent="0.2">
      <c r="A40" s="4">
        <v>155779</v>
      </c>
      <c r="B40" s="2" t="s">
        <v>988</v>
      </c>
      <c r="C40" s="2" t="s">
        <v>12</v>
      </c>
      <c r="D40" s="2" t="s">
        <v>335</v>
      </c>
      <c r="E40" s="4">
        <v>3</v>
      </c>
      <c r="F40" s="4">
        <v>30</v>
      </c>
      <c r="G40" s="4">
        <v>6</v>
      </c>
      <c r="H40" s="4">
        <v>2003</v>
      </c>
      <c r="I40" s="2" t="s">
        <v>987</v>
      </c>
      <c r="J40" s="3" t="s">
        <v>26</v>
      </c>
      <c r="K40" s="6">
        <v>67</v>
      </c>
      <c r="L40" s="6">
        <v>34</v>
      </c>
      <c r="M40" s="6">
        <v>0</v>
      </c>
      <c r="O40" s="1">
        <f>(K40/(K40+ L40 +M40))</f>
        <v>0.6633663366336634</v>
      </c>
      <c r="P40" s="1">
        <f>(L40/(K40+ L40 +M40))</f>
        <v>0.33663366336633666</v>
      </c>
      <c r="Q40" s="1">
        <f>(M40/(K40+ L40 +M40))</f>
        <v>0</v>
      </c>
    </row>
    <row r="41" spans="1:17" ht="16" x14ac:dyDescent="0.2">
      <c r="A41" s="4">
        <v>155986</v>
      </c>
      <c r="B41" s="2" t="s">
        <v>986</v>
      </c>
      <c r="C41" s="2" t="s">
        <v>12</v>
      </c>
      <c r="D41" s="2" t="s">
        <v>73</v>
      </c>
      <c r="E41" s="2" t="s">
        <v>985</v>
      </c>
      <c r="F41" s="4">
        <v>20</v>
      </c>
      <c r="G41" s="4">
        <v>8</v>
      </c>
      <c r="H41" s="4">
        <v>2002</v>
      </c>
      <c r="I41" s="2" t="s">
        <v>984</v>
      </c>
      <c r="J41" s="3" t="s">
        <v>26</v>
      </c>
      <c r="K41" s="6">
        <v>0</v>
      </c>
      <c r="L41" s="6">
        <v>0</v>
      </c>
      <c r="M41" s="6">
        <v>26</v>
      </c>
      <c r="O41" s="1">
        <f>(K41/(K41+ L41 +M41))</f>
        <v>0</v>
      </c>
      <c r="P41" s="1">
        <f>(L41/(K41+ L41 +M41))</f>
        <v>0</v>
      </c>
      <c r="Q41" s="1">
        <f>(M41/(K41+ L41 +M41))</f>
        <v>1</v>
      </c>
    </row>
    <row r="42" spans="1:17" ht="16" x14ac:dyDescent="0.2">
      <c r="A42" s="4">
        <v>120576</v>
      </c>
      <c r="B42" s="2" t="s">
        <v>983</v>
      </c>
      <c r="C42" s="2" t="s">
        <v>12</v>
      </c>
      <c r="D42" s="2" t="s">
        <v>73</v>
      </c>
      <c r="E42" s="2" t="s">
        <v>982</v>
      </c>
      <c r="F42" s="4">
        <v>16</v>
      </c>
      <c r="G42" s="4">
        <v>8</v>
      </c>
      <c r="H42" s="4">
        <v>1994</v>
      </c>
      <c r="I42" s="2" t="s">
        <v>981</v>
      </c>
      <c r="J42" s="3" t="s">
        <v>26</v>
      </c>
      <c r="K42" s="6">
        <v>0</v>
      </c>
      <c r="L42" s="6">
        <v>0</v>
      </c>
      <c r="M42" s="6">
        <v>13</v>
      </c>
      <c r="O42" s="1">
        <f>(K42/(K42+ L42 +M42))</f>
        <v>0</v>
      </c>
      <c r="P42" s="1">
        <f>(L42/(K42+ L42 +M42))</f>
        <v>0</v>
      </c>
      <c r="Q42" s="1">
        <f>(M42/(K42+ L42 +M42))</f>
        <v>1</v>
      </c>
    </row>
    <row r="43" spans="1:17" ht="16" x14ac:dyDescent="0.2">
      <c r="A43" s="4">
        <v>112843</v>
      </c>
      <c r="B43" s="2" t="s">
        <v>980</v>
      </c>
      <c r="C43" s="2" t="s">
        <v>12</v>
      </c>
      <c r="D43" s="2" t="s">
        <v>370</v>
      </c>
      <c r="E43" s="2" t="s">
        <v>979</v>
      </c>
      <c r="F43" s="4">
        <v>23</v>
      </c>
      <c r="G43" s="4">
        <v>6</v>
      </c>
      <c r="H43" s="4">
        <v>1993</v>
      </c>
      <c r="I43" s="2" t="s">
        <v>978</v>
      </c>
      <c r="J43" s="3" t="s">
        <v>26</v>
      </c>
      <c r="K43" s="6">
        <v>23</v>
      </c>
      <c r="L43" s="6">
        <v>80</v>
      </c>
      <c r="M43" s="6">
        <v>5</v>
      </c>
      <c r="O43" s="1">
        <f>(K43/(K43+ L43 +M43))</f>
        <v>0.21296296296296297</v>
      </c>
      <c r="P43" s="1">
        <f>(L43/(K43+ L43 +M43))</f>
        <v>0.7407407407407407</v>
      </c>
      <c r="Q43" s="1">
        <f>(M43/(K43+ L43 +M43))</f>
        <v>4.6296296296296294E-2</v>
      </c>
    </row>
    <row r="44" spans="1:17" ht="16" x14ac:dyDescent="0.2">
      <c r="A44" s="4">
        <v>73909</v>
      </c>
      <c r="B44" s="2" t="s">
        <v>977</v>
      </c>
      <c r="C44" s="2" t="s">
        <v>12</v>
      </c>
      <c r="D44" s="2" t="s">
        <v>64</v>
      </c>
      <c r="E44" s="2" t="s">
        <v>976</v>
      </c>
      <c r="F44" s="4">
        <v>25</v>
      </c>
      <c r="G44" s="4">
        <v>7</v>
      </c>
      <c r="H44" s="4">
        <v>1987</v>
      </c>
      <c r="I44" s="2" t="s">
        <v>975</v>
      </c>
      <c r="J44" s="3" t="s">
        <v>26</v>
      </c>
      <c r="K44" s="6">
        <v>0</v>
      </c>
      <c r="L44" s="6">
        <v>0</v>
      </c>
      <c r="M44" s="6">
        <v>5</v>
      </c>
      <c r="O44" s="1">
        <f>(K44/(K44+ L44 +M44))</f>
        <v>0</v>
      </c>
      <c r="P44" s="1">
        <f>(L44/(K44+ L44 +M44))</f>
        <v>0</v>
      </c>
      <c r="Q44" s="1">
        <f>(M44/(K44+ L44 +M44))</f>
        <v>1</v>
      </c>
    </row>
    <row r="45" spans="1:17" ht="16" x14ac:dyDescent="0.2">
      <c r="A45" s="4">
        <v>66539</v>
      </c>
      <c r="B45" s="2" t="s">
        <v>974</v>
      </c>
      <c r="C45" s="2" t="s">
        <v>12</v>
      </c>
      <c r="D45" s="2" t="s">
        <v>64</v>
      </c>
      <c r="E45" s="2" t="s">
        <v>973</v>
      </c>
      <c r="F45" s="4">
        <v>23</v>
      </c>
      <c r="G45" s="4">
        <v>6</v>
      </c>
      <c r="H45" s="4">
        <v>1986</v>
      </c>
      <c r="I45" s="2" t="s">
        <v>972</v>
      </c>
      <c r="J45" s="3" t="s">
        <v>26</v>
      </c>
      <c r="K45" s="6">
        <v>114</v>
      </c>
      <c r="L45" s="6">
        <v>86</v>
      </c>
      <c r="M45" s="6">
        <v>0</v>
      </c>
      <c r="O45" s="1">
        <f>(K45/(K45+ L45 +M45))</f>
        <v>0.56999999999999995</v>
      </c>
      <c r="P45" s="1">
        <f>(L45/(K45+ L45 +M45))</f>
        <v>0.43</v>
      </c>
      <c r="Q45" s="1">
        <f>(M45/(K45+ L45 +M45))</f>
        <v>0</v>
      </c>
    </row>
    <row r="46" spans="1:17" ht="16" x14ac:dyDescent="0.2">
      <c r="A46" s="4">
        <v>80695</v>
      </c>
      <c r="B46" s="2" t="s">
        <v>971</v>
      </c>
      <c r="C46" s="2" t="s">
        <v>12</v>
      </c>
      <c r="D46" s="2" t="s">
        <v>14</v>
      </c>
      <c r="E46" s="2" t="s">
        <v>970</v>
      </c>
      <c r="F46" s="4">
        <v>26</v>
      </c>
      <c r="G46" s="4">
        <v>7</v>
      </c>
      <c r="H46" s="4">
        <v>1988</v>
      </c>
      <c r="I46" s="2" t="s">
        <v>969</v>
      </c>
      <c r="J46" s="3" t="s">
        <v>26</v>
      </c>
      <c r="K46" s="6">
        <v>0</v>
      </c>
      <c r="L46" s="6">
        <v>0</v>
      </c>
      <c r="M46" s="6">
        <v>14</v>
      </c>
      <c r="O46" s="1">
        <f>(K46/(K46+ L46 +M46))</f>
        <v>0</v>
      </c>
      <c r="P46" s="1">
        <f>(L46/(K46+ L46 +M46))</f>
        <v>0</v>
      </c>
      <c r="Q46" s="1">
        <f>(M46/(K46+ L46 +M46))</f>
        <v>1</v>
      </c>
    </row>
    <row r="47" spans="1:17" ht="16" x14ac:dyDescent="0.2">
      <c r="A47" s="4">
        <v>122220</v>
      </c>
      <c r="B47" s="2" t="s">
        <v>968</v>
      </c>
      <c r="C47" s="2" t="s">
        <v>12</v>
      </c>
      <c r="D47" s="2" t="s">
        <v>59</v>
      </c>
      <c r="E47" s="2" t="s">
        <v>967</v>
      </c>
      <c r="F47" s="4">
        <v>25</v>
      </c>
      <c r="G47" s="4">
        <v>8</v>
      </c>
      <c r="H47" s="4">
        <v>1994</v>
      </c>
      <c r="I47" s="2" t="s">
        <v>966</v>
      </c>
      <c r="J47" s="3" t="s">
        <v>26</v>
      </c>
      <c r="K47" s="6">
        <v>0</v>
      </c>
      <c r="L47" s="6">
        <v>0</v>
      </c>
      <c r="M47" s="6">
        <v>3</v>
      </c>
      <c r="O47" s="1">
        <f>(K47/(K47+ L47 +M47))</f>
        <v>0</v>
      </c>
      <c r="P47" s="1">
        <f>(L47/(K47+ L47 +M47))</f>
        <v>0</v>
      </c>
      <c r="Q47" s="1">
        <f>(M47/(K47+ L47 +M47))</f>
        <v>1</v>
      </c>
    </row>
    <row r="48" spans="1:17" ht="16" x14ac:dyDescent="0.2">
      <c r="A48" s="4">
        <v>177334</v>
      </c>
      <c r="B48" s="2" t="s">
        <v>965</v>
      </c>
      <c r="C48" s="2" t="s">
        <v>12</v>
      </c>
      <c r="D48" s="2" t="s">
        <v>23</v>
      </c>
      <c r="E48" s="2" t="s">
        <v>964</v>
      </c>
      <c r="F48" s="4">
        <v>16</v>
      </c>
      <c r="G48" s="4">
        <v>7</v>
      </c>
      <c r="H48" s="4">
        <v>2013</v>
      </c>
      <c r="I48" s="2" t="s">
        <v>10</v>
      </c>
      <c r="J48" s="3" t="s">
        <v>26</v>
      </c>
      <c r="K48" s="6">
        <v>0</v>
      </c>
      <c r="L48" s="6">
        <v>0</v>
      </c>
      <c r="M48" s="6">
        <v>16</v>
      </c>
      <c r="O48" s="1">
        <f>(K48/(K48+ L48 +M48))</f>
        <v>0</v>
      </c>
      <c r="P48" s="1">
        <f>(L48/(K48+ L48 +M48))</f>
        <v>0</v>
      </c>
      <c r="Q48" s="1">
        <f>(M48/(K48+ L48 +M48))</f>
        <v>1</v>
      </c>
    </row>
    <row r="49" spans="1:17" ht="16" x14ac:dyDescent="0.2">
      <c r="A49" s="4">
        <v>96229</v>
      </c>
      <c r="B49" s="2" t="s">
        <v>963</v>
      </c>
      <c r="C49" s="2" t="s">
        <v>12</v>
      </c>
      <c r="D49" s="2" t="s">
        <v>227</v>
      </c>
      <c r="E49" s="2" t="s">
        <v>962</v>
      </c>
      <c r="F49" s="4">
        <v>2</v>
      </c>
      <c r="G49" s="4">
        <v>10</v>
      </c>
      <c r="H49" s="4">
        <v>1990</v>
      </c>
      <c r="I49" s="2" t="s">
        <v>961</v>
      </c>
      <c r="J49" s="3" t="s">
        <v>26</v>
      </c>
      <c r="K49" s="6">
        <v>0</v>
      </c>
      <c r="L49" s="6">
        <v>0</v>
      </c>
      <c r="M49" s="6">
        <v>29</v>
      </c>
      <c r="O49" s="1">
        <f>(K49/(K49+ L49 +M49))</f>
        <v>0</v>
      </c>
      <c r="P49" s="1">
        <f>(L49/(K49+ L49 +M49))</f>
        <v>0</v>
      </c>
      <c r="Q49" s="1">
        <f>(M49/(K49+ L49 +M49))</f>
        <v>1</v>
      </c>
    </row>
    <row r="50" spans="1:17" ht="16" x14ac:dyDescent="0.2">
      <c r="A50" s="4">
        <v>36814</v>
      </c>
      <c r="B50" s="2" t="s">
        <v>960</v>
      </c>
      <c r="C50" s="2" t="s">
        <v>12</v>
      </c>
      <c r="D50" s="2" t="s">
        <v>277</v>
      </c>
      <c r="E50" s="4">
        <v>7911</v>
      </c>
      <c r="F50" s="4">
        <v>6</v>
      </c>
      <c r="G50" s="4">
        <v>7</v>
      </c>
      <c r="H50" s="4">
        <v>1979</v>
      </c>
      <c r="I50" s="2" t="s">
        <v>959</v>
      </c>
      <c r="J50" s="3" t="s">
        <v>26</v>
      </c>
      <c r="K50" s="6">
        <v>0</v>
      </c>
      <c r="L50" s="6">
        <v>0</v>
      </c>
      <c r="M50" s="6">
        <v>4</v>
      </c>
      <c r="O50" s="1">
        <f>(K50/(K50+ L50 +M50))</f>
        <v>0</v>
      </c>
      <c r="P50" s="1">
        <f>(L50/(K50+ L50 +M50))</f>
        <v>0</v>
      </c>
      <c r="Q50" s="1">
        <f>(M50/(K50+ L50 +M50))</f>
        <v>1</v>
      </c>
    </row>
    <row r="51" spans="1:17" ht="16" x14ac:dyDescent="0.2">
      <c r="A51" s="4">
        <v>177339</v>
      </c>
      <c r="B51" s="2" t="s">
        <v>958</v>
      </c>
      <c r="C51" s="2" t="s">
        <v>12</v>
      </c>
      <c r="D51" s="2" t="s">
        <v>23</v>
      </c>
      <c r="E51" s="2" t="s">
        <v>957</v>
      </c>
      <c r="F51" s="4">
        <v>16</v>
      </c>
      <c r="G51" s="4">
        <v>7</v>
      </c>
      <c r="H51" s="4">
        <v>2013</v>
      </c>
      <c r="I51" s="2" t="s">
        <v>904</v>
      </c>
      <c r="J51" s="3" t="s">
        <v>26</v>
      </c>
      <c r="K51" s="6">
        <v>0</v>
      </c>
      <c r="L51" s="6">
        <v>0</v>
      </c>
      <c r="M51" s="6">
        <v>43</v>
      </c>
      <c r="O51" s="1">
        <f>(K51/(K51+ L51 +M51))</f>
        <v>0</v>
      </c>
      <c r="P51" s="1">
        <f>(L51/(K51+ L51 +M51))</f>
        <v>0</v>
      </c>
      <c r="Q51" s="1">
        <f>(M51/(K51+ L51 +M51))</f>
        <v>1</v>
      </c>
    </row>
    <row r="52" spans="1:17" ht="16" x14ac:dyDescent="0.2">
      <c r="A52" s="4">
        <v>163488</v>
      </c>
      <c r="B52" s="2" t="s">
        <v>956</v>
      </c>
      <c r="C52" s="2" t="s">
        <v>12</v>
      </c>
      <c r="D52" s="2" t="s">
        <v>955</v>
      </c>
      <c r="E52" s="2" t="s">
        <v>954</v>
      </c>
      <c r="F52" s="4">
        <v>9</v>
      </c>
      <c r="G52" s="4">
        <v>8</v>
      </c>
      <c r="H52" s="4">
        <v>2007</v>
      </c>
      <c r="I52" s="2" t="s">
        <v>953</v>
      </c>
      <c r="J52" s="3" t="s">
        <v>26</v>
      </c>
      <c r="K52" s="6">
        <v>0</v>
      </c>
      <c r="L52" s="6">
        <v>0</v>
      </c>
      <c r="M52" s="6">
        <v>28</v>
      </c>
      <c r="O52" s="1">
        <f>(K52/(K52+ L52 +M52))</f>
        <v>0</v>
      </c>
      <c r="P52" s="1">
        <f>(L52/(K52+ L52 +M52))</f>
        <v>0</v>
      </c>
      <c r="Q52" s="1">
        <f>(M52/(K52+ L52 +M52))</f>
        <v>1</v>
      </c>
    </row>
    <row r="53" spans="1:17" ht="16" x14ac:dyDescent="0.2">
      <c r="A53" s="4">
        <v>79967</v>
      </c>
      <c r="B53" s="2" t="s">
        <v>952</v>
      </c>
      <c r="C53" s="2" t="s">
        <v>12</v>
      </c>
      <c r="D53" s="2" t="s">
        <v>64</v>
      </c>
      <c r="E53" s="2" t="s">
        <v>951</v>
      </c>
      <c r="F53" s="4">
        <v>22</v>
      </c>
      <c r="G53" s="4">
        <v>6</v>
      </c>
      <c r="H53" s="4">
        <v>1988</v>
      </c>
      <c r="I53" s="2" t="s">
        <v>910</v>
      </c>
      <c r="J53" s="3" t="s">
        <v>26</v>
      </c>
      <c r="K53" s="6">
        <v>7</v>
      </c>
      <c r="L53" s="6">
        <v>2</v>
      </c>
      <c r="M53" s="6">
        <v>0</v>
      </c>
      <c r="O53" s="1">
        <f>(K53/(K53+ L53 +M53))</f>
        <v>0.77777777777777779</v>
      </c>
      <c r="P53" s="1">
        <f>(L53/(K53+ L53 +M53))</f>
        <v>0.22222222222222221</v>
      </c>
      <c r="Q53" s="1">
        <f>(M53/(K53+ L53 +M53))</f>
        <v>0</v>
      </c>
    </row>
    <row r="54" spans="1:17" ht="16" x14ac:dyDescent="0.2">
      <c r="A54" s="4">
        <v>66537</v>
      </c>
      <c r="B54" s="2" t="s">
        <v>950</v>
      </c>
      <c r="C54" s="2" t="s">
        <v>12</v>
      </c>
      <c r="D54" s="2" t="s">
        <v>64</v>
      </c>
      <c r="E54" s="2" t="s">
        <v>949</v>
      </c>
      <c r="F54" s="4">
        <v>23</v>
      </c>
      <c r="G54" s="4">
        <v>6</v>
      </c>
      <c r="H54" s="4">
        <v>1986</v>
      </c>
      <c r="I54" s="2" t="s">
        <v>948</v>
      </c>
      <c r="J54" s="3" t="s">
        <v>26</v>
      </c>
      <c r="K54" s="6">
        <v>8</v>
      </c>
      <c r="L54" s="6">
        <v>41</v>
      </c>
      <c r="M54" s="6">
        <v>2</v>
      </c>
      <c r="O54" s="1">
        <f>(K54/(K54+ L54 +M54))</f>
        <v>0.15686274509803921</v>
      </c>
      <c r="P54" s="1">
        <f>(L54/(K54+ L54 +M54))</f>
        <v>0.80392156862745101</v>
      </c>
      <c r="Q54" s="1">
        <f>(M54/(K54+ L54 +M54))</f>
        <v>3.9215686274509803E-2</v>
      </c>
    </row>
    <row r="55" spans="1:17" ht="16" x14ac:dyDescent="0.2">
      <c r="A55" s="4">
        <v>89771</v>
      </c>
      <c r="B55" s="2" t="s">
        <v>947</v>
      </c>
      <c r="C55" s="2" t="s">
        <v>12</v>
      </c>
      <c r="D55" s="2" t="s">
        <v>73</v>
      </c>
      <c r="E55" s="2" t="s">
        <v>946</v>
      </c>
      <c r="F55" s="4">
        <v>25</v>
      </c>
      <c r="G55" s="4">
        <v>7</v>
      </c>
      <c r="H55" s="4">
        <v>1989</v>
      </c>
      <c r="I55" s="2" t="s">
        <v>945</v>
      </c>
      <c r="J55" s="3" t="s">
        <v>26</v>
      </c>
      <c r="K55" s="6">
        <v>0</v>
      </c>
      <c r="L55" s="6">
        <v>0</v>
      </c>
      <c r="M55" s="6">
        <v>53</v>
      </c>
      <c r="O55" s="1">
        <f>(K55/(K55+ L55 +M55))</f>
        <v>0</v>
      </c>
      <c r="P55" s="1">
        <f>(L55/(K55+ L55 +M55))</f>
        <v>0</v>
      </c>
      <c r="Q55" s="1">
        <f>(M55/(K55+ L55 +M55))</f>
        <v>1</v>
      </c>
    </row>
    <row r="56" spans="1:17" ht="16" x14ac:dyDescent="0.2">
      <c r="A56" s="4">
        <v>120639</v>
      </c>
      <c r="B56" s="2" t="s">
        <v>944</v>
      </c>
      <c r="C56" s="2" t="s">
        <v>12</v>
      </c>
      <c r="D56" s="2" t="s">
        <v>73</v>
      </c>
      <c r="E56" s="2" t="s">
        <v>943</v>
      </c>
      <c r="F56" s="4">
        <v>24</v>
      </c>
      <c r="G56" s="4">
        <v>8</v>
      </c>
      <c r="H56" s="4">
        <v>1994</v>
      </c>
      <c r="I56" s="2" t="s">
        <v>942</v>
      </c>
      <c r="J56" s="3" t="s">
        <v>26</v>
      </c>
      <c r="K56" s="6">
        <v>0</v>
      </c>
      <c r="L56" s="6">
        <v>0</v>
      </c>
      <c r="M56" s="6">
        <v>64</v>
      </c>
      <c r="O56" s="1">
        <f>(K56/(K56+ L56 +M56))</f>
        <v>0</v>
      </c>
      <c r="P56" s="1">
        <f>(L56/(K56+ L56 +M56))</f>
        <v>0</v>
      </c>
      <c r="Q56" s="1">
        <f>(M56/(K56+ L56 +M56))</f>
        <v>1</v>
      </c>
    </row>
    <row r="57" spans="1:17" ht="16" x14ac:dyDescent="0.2">
      <c r="A57" s="4">
        <v>105393</v>
      </c>
      <c r="B57" s="2" t="s">
        <v>941</v>
      </c>
      <c r="C57" s="2" t="s">
        <v>12</v>
      </c>
      <c r="D57" s="2" t="s">
        <v>73</v>
      </c>
      <c r="E57" s="2" t="s">
        <v>940</v>
      </c>
      <c r="F57" s="4">
        <v>28</v>
      </c>
      <c r="G57" s="4">
        <v>7</v>
      </c>
      <c r="H57" s="4">
        <v>1992</v>
      </c>
      <c r="I57" s="2" t="s">
        <v>939</v>
      </c>
      <c r="J57" s="3" t="s">
        <v>26</v>
      </c>
      <c r="K57" s="6">
        <v>0</v>
      </c>
      <c r="L57" s="6">
        <v>0</v>
      </c>
      <c r="M57" s="6">
        <v>8</v>
      </c>
      <c r="O57" s="1">
        <f>(K57/(K57+ L57 +M57))</f>
        <v>0</v>
      </c>
      <c r="P57" s="1">
        <f>(L57/(K57+ L57 +M57))</f>
        <v>0</v>
      </c>
      <c r="Q57" s="1">
        <f>(M57/(K57+ L57 +M57))</f>
        <v>1</v>
      </c>
    </row>
    <row r="58" spans="1:17" ht="16" x14ac:dyDescent="0.2">
      <c r="A58" s="4">
        <v>143725</v>
      </c>
      <c r="B58" s="2" t="s">
        <v>938</v>
      </c>
      <c r="C58" s="2" t="s">
        <v>12</v>
      </c>
      <c r="D58" s="2" t="s">
        <v>937</v>
      </c>
      <c r="E58" s="2" t="s">
        <v>936</v>
      </c>
      <c r="F58" s="4">
        <v>25</v>
      </c>
      <c r="G58" s="4">
        <v>5</v>
      </c>
      <c r="H58" s="4">
        <v>1999</v>
      </c>
      <c r="I58" s="2" t="s">
        <v>935</v>
      </c>
      <c r="J58" s="3" t="s">
        <v>26</v>
      </c>
      <c r="K58" s="6">
        <v>15</v>
      </c>
      <c r="L58" s="6">
        <v>0</v>
      </c>
      <c r="M58" s="6">
        <v>0</v>
      </c>
      <c r="O58" s="1">
        <f>(K58/(K58+ L58 +M58))</f>
        <v>1</v>
      </c>
      <c r="P58" s="1">
        <f>(L58/(K58+ L58 +M58))</f>
        <v>0</v>
      </c>
      <c r="Q58" s="1">
        <f>(M58/(K58+ L58 +M58))</f>
        <v>0</v>
      </c>
    </row>
    <row r="59" spans="1:17" ht="16" x14ac:dyDescent="0.2">
      <c r="A59" s="4">
        <v>94029</v>
      </c>
      <c r="B59" s="2" t="s">
        <v>934</v>
      </c>
      <c r="C59" s="2" t="s">
        <v>12</v>
      </c>
      <c r="D59" s="2" t="s">
        <v>73</v>
      </c>
      <c r="E59" s="2" t="s">
        <v>933</v>
      </c>
      <c r="F59" s="4">
        <v>17</v>
      </c>
      <c r="G59" s="4">
        <v>7</v>
      </c>
      <c r="H59" s="4">
        <v>1990</v>
      </c>
      <c r="I59" s="2" t="s">
        <v>895</v>
      </c>
      <c r="J59" s="3" t="s">
        <v>26</v>
      </c>
      <c r="K59" s="6">
        <v>0</v>
      </c>
      <c r="L59" s="6">
        <v>0</v>
      </c>
      <c r="M59" s="6">
        <v>38</v>
      </c>
      <c r="O59" s="1">
        <f>(K59/(K59+ L59 +M59))</f>
        <v>0</v>
      </c>
      <c r="P59" s="1">
        <f>(L59/(K59+ L59 +M59))</f>
        <v>0</v>
      </c>
      <c r="Q59" s="1">
        <f>(M59/(K59+ L59 +M59))</f>
        <v>1</v>
      </c>
    </row>
    <row r="60" spans="1:17" ht="16" x14ac:dyDescent="0.2">
      <c r="A60" s="4">
        <v>177474</v>
      </c>
      <c r="B60" s="2" t="s">
        <v>932</v>
      </c>
      <c r="C60" s="2" t="s">
        <v>12</v>
      </c>
      <c r="D60" s="2" t="s">
        <v>906</v>
      </c>
      <c r="E60" s="2" t="s">
        <v>931</v>
      </c>
      <c r="F60" s="4">
        <v>22</v>
      </c>
      <c r="G60" s="4">
        <v>7</v>
      </c>
      <c r="H60" s="4">
        <v>2013</v>
      </c>
      <c r="I60" s="2" t="s">
        <v>930</v>
      </c>
      <c r="J60" s="3" t="s">
        <v>26</v>
      </c>
      <c r="K60" s="6">
        <v>0</v>
      </c>
      <c r="L60" s="6">
        <v>0</v>
      </c>
      <c r="M60" s="6">
        <v>19</v>
      </c>
      <c r="O60" s="1">
        <f>(K60/(K60+ L60 +M60))</f>
        <v>0</v>
      </c>
      <c r="P60" s="1">
        <f>(L60/(K60+ L60 +M60))</f>
        <v>0</v>
      </c>
      <c r="Q60" s="1">
        <f>(M60/(K60+ L60 +M60))</f>
        <v>1</v>
      </c>
    </row>
    <row r="61" spans="1:17" ht="16" x14ac:dyDescent="0.2">
      <c r="A61" s="4">
        <v>177331</v>
      </c>
      <c r="B61" s="2" t="s">
        <v>929</v>
      </c>
      <c r="C61" s="2" t="s">
        <v>12</v>
      </c>
      <c r="D61" s="2" t="s">
        <v>111</v>
      </c>
      <c r="E61" s="2" t="s">
        <v>928</v>
      </c>
      <c r="F61" s="4">
        <v>26</v>
      </c>
      <c r="G61" s="4">
        <v>6</v>
      </c>
      <c r="H61" s="4">
        <v>2013</v>
      </c>
      <c r="I61" s="2" t="s">
        <v>927</v>
      </c>
      <c r="J61" s="3" t="s">
        <v>26</v>
      </c>
      <c r="K61" s="6">
        <v>26</v>
      </c>
      <c r="L61" s="6">
        <v>33</v>
      </c>
      <c r="M61" s="6">
        <v>0</v>
      </c>
      <c r="O61" s="1">
        <f>(K61/(K61+ L61 +M61))</f>
        <v>0.44067796610169491</v>
      </c>
      <c r="P61" s="1">
        <f>(L61/(K61+ L61 +M61))</f>
        <v>0.55932203389830504</v>
      </c>
      <c r="Q61" s="1">
        <f>(M61/(K61+ L61 +M61))</f>
        <v>0</v>
      </c>
    </row>
    <row r="62" spans="1:17" ht="16" x14ac:dyDescent="0.2">
      <c r="A62" s="4">
        <v>177329</v>
      </c>
      <c r="B62" s="2" t="s">
        <v>926</v>
      </c>
      <c r="C62" s="2" t="s">
        <v>12</v>
      </c>
      <c r="D62" s="2" t="s">
        <v>925</v>
      </c>
      <c r="E62" s="2" t="s">
        <v>924</v>
      </c>
      <c r="F62" s="4">
        <v>26</v>
      </c>
      <c r="G62" s="4">
        <v>6</v>
      </c>
      <c r="H62" s="4">
        <v>2013</v>
      </c>
      <c r="I62" s="2" t="s">
        <v>923</v>
      </c>
      <c r="J62" s="3" t="s">
        <v>26</v>
      </c>
      <c r="K62" s="6">
        <v>39</v>
      </c>
      <c r="L62" s="6">
        <v>0</v>
      </c>
      <c r="M62" s="6">
        <v>0</v>
      </c>
      <c r="O62" s="1">
        <f>(K62/(K62+ L62 +M62))</f>
        <v>1</v>
      </c>
      <c r="P62" s="1">
        <f>(L62/(K62+ L62 +M62))</f>
        <v>0</v>
      </c>
      <c r="Q62" s="1">
        <f>(M62/(K62+ L62 +M62))</f>
        <v>0</v>
      </c>
    </row>
    <row r="63" spans="1:17" ht="16" x14ac:dyDescent="0.2">
      <c r="A63" s="4">
        <v>94431</v>
      </c>
      <c r="B63" s="2" t="s">
        <v>922</v>
      </c>
      <c r="C63" s="2" t="s">
        <v>12</v>
      </c>
      <c r="D63" s="2" t="s">
        <v>418</v>
      </c>
      <c r="E63" s="2" t="s">
        <v>921</v>
      </c>
      <c r="F63" s="4">
        <v>7</v>
      </c>
      <c r="G63" s="4">
        <v>8</v>
      </c>
      <c r="H63" s="4">
        <v>1990</v>
      </c>
      <c r="I63" s="2" t="s">
        <v>920</v>
      </c>
      <c r="J63" s="3" t="s">
        <v>26</v>
      </c>
      <c r="K63" s="6">
        <v>0</v>
      </c>
      <c r="L63" s="6">
        <v>0</v>
      </c>
      <c r="M63" s="6">
        <v>22</v>
      </c>
      <c r="O63" s="1">
        <f>(K63/(K63+ L63 +M63))</f>
        <v>0</v>
      </c>
      <c r="P63" s="1">
        <f>(L63/(K63+ L63 +M63))</f>
        <v>0</v>
      </c>
      <c r="Q63" s="1">
        <f>(M63/(K63+ L63 +M63))</f>
        <v>1</v>
      </c>
    </row>
    <row r="64" spans="1:17" ht="16" x14ac:dyDescent="0.2">
      <c r="A64" s="4">
        <v>36818</v>
      </c>
      <c r="B64" s="2" t="s">
        <v>919</v>
      </c>
      <c r="C64" s="2" t="s">
        <v>12</v>
      </c>
      <c r="D64" s="2" t="s">
        <v>277</v>
      </c>
      <c r="E64" s="4">
        <v>7910</v>
      </c>
      <c r="F64" s="4">
        <v>6</v>
      </c>
      <c r="G64" s="4">
        <v>7</v>
      </c>
      <c r="H64" s="4">
        <v>1979</v>
      </c>
      <c r="I64" s="2" t="s">
        <v>918</v>
      </c>
      <c r="J64" s="3" t="s">
        <v>26</v>
      </c>
      <c r="K64" s="6">
        <v>0</v>
      </c>
      <c r="L64" s="6">
        <v>0</v>
      </c>
      <c r="M64" s="6">
        <v>57</v>
      </c>
      <c r="O64" s="1">
        <f>(K64/(K64+ L64 +M64))</f>
        <v>0</v>
      </c>
      <c r="P64" s="1">
        <f>(L64/(K64+ L64 +M64))</f>
        <v>0</v>
      </c>
      <c r="Q64" s="1">
        <f>(M64/(K64+ L64 +M64))</f>
        <v>1</v>
      </c>
    </row>
    <row r="65" spans="1:17" ht="16" x14ac:dyDescent="0.2">
      <c r="A65" s="4">
        <v>112816</v>
      </c>
      <c r="B65" s="2" t="s">
        <v>917</v>
      </c>
      <c r="C65" s="2" t="s">
        <v>12</v>
      </c>
      <c r="D65" s="2" t="s">
        <v>370</v>
      </c>
      <c r="E65" s="2" t="s">
        <v>916</v>
      </c>
      <c r="F65" s="4">
        <v>23</v>
      </c>
      <c r="G65" s="4">
        <v>6</v>
      </c>
      <c r="H65" s="4">
        <v>1993</v>
      </c>
      <c r="I65" s="2" t="s">
        <v>915</v>
      </c>
      <c r="J65" s="3" t="s">
        <v>26</v>
      </c>
      <c r="K65" s="6">
        <v>16</v>
      </c>
      <c r="L65" s="6">
        <v>39</v>
      </c>
      <c r="M65" s="6">
        <v>4</v>
      </c>
      <c r="O65" s="1">
        <f>(K65/(K65+ L65 +M65))</f>
        <v>0.2711864406779661</v>
      </c>
      <c r="P65" s="1">
        <f>(L65/(K65+ L65 +M65))</f>
        <v>0.66101694915254239</v>
      </c>
      <c r="Q65" s="1">
        <f>(M65/(K65+ L65 +M65))</f>
        <v>6.7796610169491525E-2</v>
      </c>
    </row>
    <row r="66" spans="1:17" ht="16" x14ac:dyDescent="0.2">
      <c r="A66" s="4">
        <v>112876</v>
      </c>
      <c r="B66" s="2" t="s">
        <v>914</v>
      </c>
      <c r="C66" s="2" t="s">
        <v>12</v>
      </c>
      <c r="D66" s="2" t="s">
        <v>59</v>
      </c>
      <c r="E66" s="2" t="s">
        <v>913</v>
      </c>
      <c r="F66" s="4">
        <v>22</v>
      </c>
      <c r="G66" s="4">
        <v>6</v>
      </c>
      <c r="H66" s="4">
        <v>1993</v>
      </c>
      <c r="I66" s="2" t="s">
        <v>908</v>
      </c>
      <c r="J66" s="3" t="s">
        <v>26</v>
      </c>
      <c r="K66" s="6">
        <v>79</v>
      </c>
      <c r="L66" s="6">
        <v>153</v>
      </c>
      <c r="M66" s="6">
        <v>3</v>
      </c>
      <c r="O66" s="1">
        <f>(K66/(K66+ L66 +M66))</f>
        <v>0.33617021276595743</v>
      </c>
      <c r="P66" s="1">
        <f>(L66/(K66+ L66 +M66))</f>
        <v>0.65106382978723409</v>
      </c>
      <c r="Q66" s="1">
        <f>(M66/(K66+ L66 +M66))</f>
        <v>1.276595744680851E-2</v>
      </c>
    </row>
    <row r="67" spans="1:17" ht="16" x14ac:dyDescent="0.2">
      <c r="A67" s="4">
        <v>97653</v>
      </c>
      <c r="B67" s="2" t="s">
        <v>912</v>
      </c>
      <c r="C67" s="2" t="s">
        <v>12</v>
      </c>
      <c r="D67" s="2" t="s">
        <v>59</v>
      </c>
      <c r="E67" s="2" t="s">
        <v>911</v>
      </c>
      <c r="F67" s="4">
        <v>13</v>
      </c>
      <c r="G67" s="4">
        <v>6</v>
      </c>
      <c r="H67" s="4">
        <v>1991</v>
      </c>
      <c r="I67" s="2" t="s">
        <v>910</v>
      </c>
      <c r="J67" s="3" t="s">
        <v>26</v>
      </c>
      <c r="K67" s="6">
        <v>16</v>
      </c>
      <c r="L67" s="6">
        <v>136</v>
      </c>
      <c r="M67" s="6">
        <v>36</v>
      </c>
      <c r="O67" s="1">
        <f>(K67/(K67+ L67 +M67))</f>
        <v>8.5106382978723402E-2</v>
      </c>
      <c r="P67" s="1">
        <f>(L67/(K67+ L67 +M67))</f>
        <v>0.72340425531914898</v>
      </c>
      <c r="Q67" s="1">
        <f>(M67/(K67+ L67 +M67))</f>
        <v>0.19148936170212766</v>
      </c>
    </row>
    <row r="68" spans="1:17" ht="16" x14ac:dyDescent="0.2">
      <c r="A68" s="4">
        <v>28025</v>
      </c>
      <c r="B68" s="2" t="s">
        <v>909</v>
      </c>
      <c r="C68" s="2" t="s">
        <v>12</v>
      </c>
      <c r="D68" s="2" t="s">
        <v>309</v>
      </c>
      <c r="E68" s="4">
        <v>433</v>
      </c>
      <c r="F68" s="4">
        <v>2</v>
      </c>
      <c r="G68" s="4">
        <v>7</v>
      </c>
      <c r="H68" s="4">
        <v>1970</v>
      </c>
      <c r="I68" s="2" t="s">
        <v>908</v>
      </c>
      <c r="J68" s="3" t="s">
        <v>26</v>
      </c>
      <c r="K68" s="6">
        <v>0</v>
      </c>
      <c r="L68" s="6">
        <v>0</v>
      </c>
      <c r="M68" s="6">
        <v>31</v>
      </c>
      <c r="O68" s="1">
        <f>(K68/(K68+ L68 +M68))</f>
        <v>0</v>
      </c>
      <c r="P68" s="1">
        <f>(L68/(K68+ L68 +M68))</f>
        <v>0</v>
      </c>
      <c r="Q68" s="1">
        <f>(M68/(K68+ L68 +M68))</f>
        <v>1</v>
      </c>
    </row>
    <row r="69" spans="1:17" ht="16" x14ac:dyDescent="0.2">
      <c r="A69" s="4">
        <v>177465</v>
      </c>
      <c r="B69" s="2" t="s">
        <v>907</v>
      </c>
      <c r="C69" s="2" t="s">
        <v>12</v>
      </c>
      <c r="D69" s="2" t="s">
        <v>906</v>
      </c>
      <c r="E69" s="2" t="s">
        <v>905</v>
      </c>
      <c r="F69" s="4">
        <v>22</v>
      </c>
      <c r="G69" s="4">
        <v>7</v>
      </c>
      <c r="H69" s="4">
        <v>2013</v>
      </c>
      <c r="I69" s="2" t="s">
        <v>904</v>
      </c>
      <c r="J69" s="3" t="s">
        <v>26</v>
      </c>
      <c r="K69" s="6">
        <v>0</v>
      </c>
      <c r="L69" s="6">
        <v>0</v>
      </c>
      <c r="M69" s="6">
        <v>29</v>
      </c>
      <c r="O69" s="1">
        <f>(K69/(K69+ L69 +M69))</f>
        <v>0</v>
      </c>
      <c r="P69" s="1">
        <f>(L69/(K69+ L69 +M69))</f>
        <v>0</v>
      </c>
      <c r="Q69" s="1">
        <f>(M69/(K69+ L69 +M69))</f>
        <v>1</v>
      </c>
    </row>
    <row r="70" spans="1:17" ht="16" x14ac:dyDescent="0.2">
      <c r="A70" s="4">
        <v>144047</v>
      </c>
      <c r="B70" s="2" t="s">
        <v>903</v>
      </c>
      <c r="C70" s="2" t="s">
        <v>12</v>
      </c>
      <c r="D70" s="2" t="s">
        <v>73</v>
      </c>
      <c r="E70" s="2" t="s">
        <v>902</v>
      </c>
      <c r="F70" s="4">
        <v>26</v>
      </c>
      <c r="G70" s="4">
        <v>7</v>
      </c>
      <c r="H70" s="4">
        <v>1999</v>
      </c>
      <c r="I70" s="2" t="s">
        <v>901</v>
      </c>
      <c r="J70" s="3" t="s">
        <v>26</v>
      </c>
      <c r="K70" s="6">
        <v>0</v>
      </c>
      <c r="L70" s="6">
        <v>0</v>
      </c>
      <c r="M70" s="6">
        <v>7</v>
      </c>
      <c r="O70" s="1">
        <f>(K70/(K70+ L70 +M70))</f>
        <v>0</v>
      </c>
      <c r="P70" s="1">
        <f>(L70/(K70+ L70 +M70))</f>
        <v>0</v>
      </c>
      <c r="Q70" s="1">
        <f>(M70/(K70+ L70 +M70))</f>
        <v>1</v>
      </c>
    </row>
    <row r="71" spans="1:17" ht="16" x14ac:dyDescent="0.2">
      <c r="A71" s="4">
        <v>183123</v>
      </c>
      <c r="B71" s="2" t="s">
        <v>900</v>
      </c>
      <c r="C71" s="2" t="s">
        <v>12</v>
      </c>
      <c r="D71" s="2" t="s">
        <v>237</v>
      </c>
      <c r="E71" s="2" t="s">
        <v>899</v>
      </c>
      <c r="F71" s="4">
        <v>16</v>
      </c>
      <c r="G71" s="4">
        <v>6</v>
      </c>
      <c r="H71" s="4">
        <v>2016</v>
      </c>
      <c r="I71" s="2" t="s">
        <v>898</v>
      </c>
      <c r="J71" s="3" t="s">
        <v>26</v>
      </c>
      <c r="K71" s="6">
        <v>30</v>
      </c>
      <c r="L71" s="6">
        <v>61</v>
      </c>
      <c r="M71" s="6">
        <v>0</v>
      </c>
      <c r="O71" s="1">
        <f>(K71/(K71+ L71 +M71))</f>
        <v>0.32967032967032966</v>
      </c>
      <c r="P71" s="1">
        <f>(L71/(K71+ L71 +M71))</f>
        <v>0.67032967032967028</v>
      </c>
      <c r="Q71" s="1">
        <f>(M71/(K71+ L71 +M71))</f>
        <v>0</v>
      </c>
    </row>
    <row r="72" spans="1:17" ht="16" x14ac:dyDescent="0.2">
      <c r="A72" s="4">
        <v>112877</v>
      </c>
      <c r="B72" s="2" t="s">
        <v>897</v>
      </c>
      <c r="C72" s="2" t="s">
        <v>12</v>
      </c>
      <c r="D72" s="2" t="s">
        <v>59</v>
      </c>
      <c r="E72" s="2" t="s">
        <v>896</v>
      </c>
      <c r="F72" s="4">
        <v>22</v>
      </c>
      <c r="G72" s="4">
        <v>6</v>
      </c>
      <c r="H72" s="4">
        <v>1993</v>
      </c>
      <c r="I72" s="2" t="s">
        <v>895</v>
      </c>
      <c r="J72" s="3" t="s">
        <v>26</v>
      </c>
      <c r="K72" s="6">
        <v>16</v>
      </c>
      <c r="L72" s="6">
        <v>52</v>
      </c>
      <c r="M72" s="6">
        <v>0</v>
      </c>
      <c r="O72" s="1">
        <f>(K72/(K72+ L72 +M72))</f>
        <v>0.23529411764705882</v>
      </c>
      <c r="P72" s="1">
        <f>(L72/(K72+ L72 +M72))</f>
        <v>0.76470588235294112</v>
      </c>
      <c r="Q72" s="1">
        <f>(M72/(K72+ L72 +M72))</f>
        <v>0</v>
      </c>
    </row>
    <row r="73" spans="1:17" ht="16" x14ac:dyDescent="0.2">
      <c r="A73" s="4">
        <v>176984</v>
      </c>
      <c r="B73" s="2" t="s">
        <v>894</v>
      </c>
      <c r="C73" s="2" t="s">
        <v>12</v>
      </c>
      <c r="D73" s="2" t="s">
        <v>38</v>
      </c>
      <c r="E73" s="2" t="s">
        <v>893</v>
      </c>
      <c r="F73" s="4">
        <v>26</v>
      </c>
      <c r="G73" s="4">
        <v>6</v>
      </c>
      <c r="H73" s="4">
        <v>2013</v>
      </c>
      <c r="I73" s="2" t="s">
        <v>10</v>
      </c>
      <c r="J73" s="3" t="s">
        <v>26</v>
      </c>
      <c r="K73" s="6">
        <v>0</v>
      </c>
      <c r="L73" s="6">
        <v>29</v>
      </c>
      <c r="M73" s="6">
        <v>62</v>
      </c>
      <c r="O73" s="1">
        <f>(K73/(K73+ L73 +M73))</f>
        <v>0</v>
      </c>
      <c r="P73" s="1">
        <f>(L73/(K73+ L73 +M73))</f>
        <v>0.31868131868131866</v>
      </c>
      <c r="Q73" s="1">
        <f>(M73/(K73+ L73 +M73))</f>
        <v>0.68131868131868134</v>
      </c>
    </row>
    <row r="74" spans="1:17" ht="16" x14ac:dyDescent="0.2">
      <c r="A74" s="4">
        <v>120640</v>
      </c>
      <c r="B74" s="2" t="s">
        <v>892</v>
      </c>
      <c r="C74" s="2" t="s">
        <v>12</v>
      </c>
      <c r="D74" s="2" t="s">
        <v>73</v>
      </c>
      <c r="E74" s="2" t="s">
        <v>891</v>
      </c>
      <c r="F74" s="4">
        <v>24</v>
      </c>
      <c r="G74" s="4">
        <v>8</v>
      </c>
      <c r="H74" s="4">
        <v>1994</v>
      </c>
      <c r="I74" s="2" t="s">
        <v>890</v>
      </c>
      <c r="J74" s="3" t="s">
        <v>26</v>
      </c>
      <c r="K74" s="6">
        <v>0</v>
      </c>
      <c r="L74" s="6">
        <v>0</v>
      </c>
      <c r="M74" s="6">
        <v>19</v>
      </c>
      <c r="O74" s="1">
        <f>(K74/(K74+ L74 +M74))</f>
        <v>0</v>
      </c>
      <c r="P74" s="1">
        <f>(L74/(K74+ L74 +M74))</f>
        <v>0</v>
      </c>
      <c r="Q74" s="1">
        <f>(M74/(K74+ L74 +M74))</f>
        <v>1</v>
      </c>
    </row>
    <row r="75" spans="1:17" ht="16" x14ac:dyDescent="0.2">
      <c r="A75" s="4">
        <v>98625</v>
      </c>
      <c r="B75" s="2" t="s">
        <v>889</v>
      </c>
      <c r="C75" s="2" t="s">
        <v>12</v>
      </c>
      <c r="D75" s="2" t="s">
        <v>73</v>
      </c>
      <c r="E75" s="2" t="s">
        <v>888</v>
      </c>
      <c r="F75" s="4">
        <v>6</v>
      </c>
      <c r="G75" s="4">
        <v>8</v>
      </c>
      <c r="H75" s="4">
        <v>1991</v>
      </c>
      <c r="I75" s="2" t="s">
        <v>887</v>
      </c>
      <c r="J75" s="3" t="s">
        <v>26</v>
      </c>
      <c r="K75" s="6">
        <v>0</v>
      </c>
      <c r="L75" s="6">
        <v>0</v>
      </c>
      <c r="M75" s="6">
        <v>6</v>
      </c>
      <c r="O75" s="1">
        <f>(K75/(K75+ L75 +M75))</f>
        <v>0</v>
      </c>
      <c r="P75" s="1">
        <f>(L75/(K75+ L75 +M75))</f>
        <v>0</v>
      </c>
      <c r="Q75" s="1">
        <f>(M75/(K75+ L75 +M75))</f>
        <v>1</v>
      </c>
    </row>
    <row r="76" spans="1:17" ht="16" x14ac:dyDescent="0.2">
      <c r="A76" s="4">
        <v>120584</v>
      </c>
      <c r="B76" s="2" t="s">
        <v>886</v>
      </c>
      <c r="C76" s="2" t="s">
        <v>12</v>
      </c>
      <c r="D76" s="2" t="s">
        <v>250</v>
      </c>
      <c r="E76" s="2" t="s">
        <v>885</v>
      </c>
      <c r="F76" s="4">
        <v>2</v>
      </c>
      <c r="G76" s="4">
        <v>8</v>
      </c>
      <c r="H76" s="4">
        <v>1994</v>
      </c>
      <c r="I76" s="2" t="s">
        <v>884</v>
      </c>
      <c r="J76" s="3" t="s">
        <v>26</v>
      </c>
      <c r="K76" s="6">
        <v>0</v>
      </c>
      <c r="L76" s="6">
        <v>0</v>
      </c>
      <c r="M76" s="6">
        <v>31</v>
      </c>
      <c r="O76" s="1">
        <f>(K76/(K76+ L76 +M76))</f>
        <v>0</v>
      </c>
      <c r="P76" s="1">
        <f>(L76/(K76+ L76 +M76))</f>
        <v>0</v>
      </c>
      <c r="Q76" s="1">
        <f>(M76/(K76+ L76 +M76))</f>
        <v>1</v>
      </c>
    </row>
    <row r="77" spans="1:17" ht="16" x14ac:dyDescent="0.2">
      <c r="A77" s="4">
        <v>92587</v>
      </c>
      <c r="B77" s="2" t="s">
        <v>883</v>
      </c>
      <c r="C77" s="2" t="s">
        <v>12</v>
      </c>
      <c r="D77" s="2" t="s">
        <v>77</v>
      </c>
      <c r="E77" s="2" t="s">
        <v>882</v>
      </c>
      <c r="F77" s="4">
        <v>29</v>
      </c>
      <c r="G77" s="4">
        <v>6</v>
      </c>
      <c r="H77" s="4">
        <v>1990</v>
      </c>
      <c r="I77" s="2" t="s">
        <v>881</v>
      </c>
      <c r="J77" s="3" t="s">
        <v>26</v>
      </c>
      <c r="K77" s="6">
        <v>2</v>
      </c>
      <c r="L77" s="6">
        <v>146</v>
      </c>
      <c r="M77" s="6">
        <v>55</v>
      </c>
      <c r="O77" s="1">
        <f>(K77/(K77+ L77 +M77))</f>
        <v>9.852216748768473E-3</v>
      </c>
      <c r="P77" s="1">
        <f>(L77/(K77+ L77 +M77))</f>
        <v>0.71921182266009853</v>
      </c>
      <c r="Q77" s="1">
        <f>(M77/(K77+ L77 +M77))</f>
        <v>0.27093596059113301</v>
      </c>
    </row>
    <row r="78" spans="1:17" ht="16" x14ac:dyDescent="0.2">
      <c r="A78" s="4">
        <v>120616</v>
      </c>
      <c r="B78" s="2" t="s">
        <v>880</v>
      </c>
      <c r="C78" s="2" t="s">
        <v>12</v>
      </c>
      <c r="D78" s="2" t="s">
        <v>250</v>
      </c>
      <c r="E78" s="2" t="s">
        <v>879</v>
      </c>
      <c r="F78" s="4">
        <v>3</v>
      </c>
      <c r="G78" s="4">
        <v>8</v>
      </c>
      <c r="H78" s="4">
        <v>1994</v>
      </c>
      <c r="I78" s="2" t="s">
        <v>878</v>
      </c>
      <c r="J78" s="3" t="s">
        <v>26</v>
      </c>
      <c r="K78" s="6">
        <v>0</v>
      </c>
      <c r="L78" s="6">
        <v>0</v>
      </c>
      <c r="M78" s="6">
        <v>8</v>
      </c>
      <c r="O78" s="1">
        <f>(K78/(K78+ L78 +M78))</f>
        <v>0</v>
      </c>
      <c r="P78" s="1">
        <f>(L78/(K78+ L78 +M78))</f>
        <v>0</v>
      </c>
      <c r="Q78" s="1">
        <f>(M78/(K78+ L78 +M78))</f>
        <v>1</v>
      </c>
    </row>
    <row r="79" spans="1:17" ht="16" x14ac:dyDescent="0.2">
      <c r="A79" s="4">
        <v>171355</v>
      </c>
      <c r="B79" s="2" t="s">
        <v>877</v>
      </c>
      <c r="C79" s="2" t="s">
        <v>12</v>
      </c>
      <c r="D79" s="2" t="s">
        <v>876</v>
      </c>
      <c r="E79" s="2" t="s">
        <v>875</v>
      </c>
      <c r="F79" s="4">
        <v>15</v>
      </c>
      <c r="G79" s="4">
        <v>6</v>
      </c>
      <c r="H79" s="4">
        <v>2010</v>
      </c>
      <c r="I79" s="2" t="s">
        <v>140</v>
      </c>
      <c r="J79" s="3" t="s">
        <v>26</v>
      </c>
      <c r="K79" s="6">
        <v>1</v>
      </c>
      <c r="L79" s="6">
        <v>2</v>
      </c>
      <c r="M79" s="6">
        <v>0</v>
      </c>
      <c r="O79" s="1">
        <f>(K79/(K79+ L79 +M79))</f>
        <v>0.33333333333333331</v>
      </c>
      <c r="P79" s="1">
        <f>(L79/(K79+ L79 +M79))</f>
        <v>0.66666666666666663</v>
      </c>
      <c r="Q79" s="1">
        <f>(M79/(K79+ L79 +M79))</f>
        <v>0</v>
      </c>
    </row>
    <row r="80" spans="1:17" ht="16" x14ac:dyDescent="0.2">
      <c r="A80" s="4">
        <v>65120</v>
      </c>
      <c r="B80" s="2" t="s">
        <v>874</v>
      </c>
      <c r="C80" s="2" t="s">
        <v>12</v>
      </c>
      <c r="D80" s="2" t="s">
        <v>64</v>
      </c>
      <c r="E80" s="2" t="s">
        <v>873</v>
      </c>
      <c r="F80" s="4">
        <v>21</v>
      </c>
      <c r="G80" s="4">
        <v>6</v>
      </c>
      <c r="H80" s="4">
        <v>1984</v>
      </c>
      <c r="I80" s="2" t="s">
        <v>872</v>
      </c>
      <c r="J80" s="3" t="s">
        <v>26</v>
      </c>
      <c r="K80" s="6">
        <v>165</v>
      </c>
      <c r="L80" s="6">
        <v>37</v>
      </c>
      <c r="M80" s="6">
        <v>0</v>
      </c>
      <c r="O80" s="1">
        <f>(K80/(K80+ L80 +M80))</f>
        <v>0.81683168316831678</v>
      </c>
      <c r="P80" s="1">
        <f>(L80/(K80+ L80 +M80))</f>
        <v>0.18316831683168316</v>
      </c>
      <c r="Q80" s="1">
        <f>(M80/(K80+ L80 +M80))</f>
        <v>0</v>
      </c>
    </row>
    <row r="81" spans="1:17" ht="16" x14ac:dyDescent="0.2">
      <c r="A81" s="4">
        <v>32416</v>
      </c>
      <c r="B81" s="2" t="s">
        <v>871</v>
      </c>
      <c r="C81" s="2" t="s">
        <v>12</v>
      </c>
      <c r="D81" s="2" t="s">
        <v>14</v>
      </c>
      <c r="E81" s="4">
        <v>4397</v>
      </c>
      <c r="F81" s="4">
        <v>8</v>
      </c>
      <c r="G81" s="4">
        <v>7</v>
      </c>
      <c r="H81" s="4">
        <v>1978</v>
      </c>
      <c r="I81" s="2" t="s">
        <v>870</v>
      </c>
      <c r="J81" s="3" t="s">
        <v>26</v>
      </c>
      <c r="K81" s="6">
        <v>2</v>
      </c>
      <c r="L81" s="6">
        <v>162</v>
      </c>
      <c r="M81" s="6">
        <v>14</v>
      </c>
      <c r="O81" s="1">
        <f>(K81/(K81+ L81 +M81))</f>
        <v>1.1235955056179775E-2</v>
      </c>
      <c r="P81" s="1">
        <f>(L81/(K81+ L81 +M81))</f>
        <v>0.9101123595505618</v>
      </c>
      <c r="Q81" s="1">
        <f>(M81/(K81+ L81 +M81))</f>
        <v>7.8651685393258425E-2</v>
      </c>
    </row>
    <row r="82" spans="1:17" ht="16" x14ac:dyDescent="0.2">
      <c r="A82" s="4">
        <v>119781</v>
      </c>
      <c r="B82" s="2" t="s">
        <v>869</v>
      </c>
      <c r="C82" s="2" t="s">
        <v>12</v>
      </c>
      <c r="D82" s="2" t="s">
        <v>73</v>
      </c>
      <c r="E82" s="2" t="s">
        <v>868</v>
      </c>
      <c r="F82" s="4">
        <v>14</v>
      </c>
      <c r="G82" s="4">
        <v>6</v>
      </c>
      <c r="H82" s="4">
        <v>1994</v>
      </c>
      <c r="I82" s="2" t="s">
        <v>867</v>
      </c>
      <c r="J82" s="3" t="s">
        <v>26</v>
      </c>
      <c r="K82" s="6">
        <v>16</v>
      </c>
      <c r="L82" s="6">
        <v>6</v>
      </c>
      <c r="M82" s="6">
        <v>0</v>
      </c>
      <c r="O82" s="1">
        <f>(K82/(K82+ L82 +M82))</f>
        <v>0.72727272727272729</v>
      </c>
      <c r="P82" s="1">
        <f>(L82/(K82+ L82 +M82))</f>
        <v>0.27272727272727271</v>
      </c>
      <c r="Q82" s="1">
        <f>(M82/(K82+ L82 +M82))</f>
        <v>0</v>
      </c>
    </row>
    <row r="83" spans="1:17" ht="16" x14ac:dyDescent="0.2">
      <c r="A83" s="4">
        <v>119775</v>
      </c>
      <c r="B83" s="2" t="s">
        <v>866</v>
      </c>
      <c r="C83" s="2" t="s">
        <v>12</v>
      </c>
      <c r="D83" s="2" t="s">
        <v>59</v>
      </c>
      <c r="E83" s="2" t="s">
        <v>865</v>
      </c>
      <c r="F83" s="4">
        <v>16</v>
      </c>
      <c r="G83" s="4">
        <v>6</v>
      </c>
      <c r="H83" s="4">
        <v>1994</v>
      </c>
      <c r="I83" s="2" t="s">
        <v>864</v>
      </c>
      <c r="J83" s="3" t="s">
        <v>26</v>
      </c>
      <c r="K83" s="6">
        <v>2</v>
      </c>
      <c r="L83" s="6">
        <v>10</v>
      </c>
      <c r="M83" s="6">
        <v>1</v>
      </c>
      <c r="O83" s="1">
        <f>(K83/(K83+ L83 +M83))</f>
        <v>0.15384615384615385</v>
      </c>
      <c r="P83" s="1">
        <f>(L83/(K83+ L83 +M83))</f>
        <v>0.76923076923076927</v>
      </c>
      <c r="Q83" s="1">
        <f>(M83/(K83+ L83 +M83))</f>
        <v>7.6923076923076927E-2</v>
      </c>
    </row>
    <row r="84" spans="1:17" ht="16" x14ac:dyDescent="0.2">
      <c r="A84" s="4">
        <v>142081</v>
      </c>
      <c r="B84" s="2" t="s">
        <v>863</v>
      </c>
      <c r="C84" s="2" t="s">
        <v>12</v>
      </c>
      <c r="D84" s="2" t="s">
        <v>303</v>
      </c>
      <c r="E84" s="2" t="s">
        <v>244</v>
      </c>
      <c r="F84" s="4">
        <v>31</v>
      </c>
      <c r="G84" s="4">
        <v>7</v>
      </c>
      <c r="H84" s="4">
        <v>1998</v>
      </c>
      <c r="I84" s="2" t="s">
        <v>862</v>
      </c>
      <c r="J84" s="3" t="s">
        <v>26</v>
      </c>
      <c r="K84" s="6">
        <v>0</v>
      </c>
      <c r="L84" s="6">
        <v>0</v>
      </c>
      <c r="M84" s="6">
        <v>17</v>
      </c>
      <c r="O84" s="1">
        <f>(K84/(K84+ L84 +M84))</f>
        <v>0</v>
      </c>
      <c r="P84" s="1">
        <f>(L84/(K84+ L84 +M84))</f>
        <v>0</v>
      </c>
      <c r="Q84" s="1">
        <f>(M84/(K84+ L84 +M84))</f>
        <v>1</v>
      </c>
    </row>
    <row r="85" spans="1:17" ht="16" x14ac:dyDescent="0.2">
      <c r="A85" s="4">
        <v>63399</v>
      </c>
      <c r="B85" s="2" t="s">
        <v>861</v>
      </c>
      <c r="C85" s="2" t="s">
        <v>43</v>
      </c>
      <c r="D85" s="2" t="s">
        <v>64</v>
      </c>
      <c r="E85" s="2" t="s">
        <v>860</v>
      </c>
      <c r="F85" s="4">
        <v>23</v>
      </c>
      <c r="G85" s="4">
        <v>6</v>
      </c>
      <c r="H85" s="4">
        <v>1986</v>
      </c>
      <c r="I85" s="2" t="s">
        <v>859</v>
      </c>
      <c r="J85" s="3" t="s">
        <v>26</v>
      </c>
      <c r="K85" s="6">
        <v>1</v>
      </c>
      <c r="L85" s="6">
        <v>13</v>
      </c>
      <c r="M85" s="6">
        <v>5</v>
      </c>
      <c r="O85" s="1">
        <f>(K85/(K85+ L85 +M85))</f>
        <v>5.2631578947368418E-2</v>
      </c>
      <c r="P85" s="1">
        <f>(L85/(K85+ L85 +M85))</f>
        <v>0.68421052631578949</v>
      </c>
      <c r="Q85" s="1">
        <f>(M85/(K85+ L85 +M85))</f>
        <v>0.26315789473684209</v>
      </c>
    </row>
    <row r="86" spans="1:17" ht="16" x14ac:dyDescent="0.2">
      <c r="A86" s="4">
        <v>155787</v>
      </c>
      <c r="B86" s="2" t="s">
        <v>858</v>
      </c>
      <c r="C86" s="2" t="s">
        <v>43</v>
      </c>
      <c r="D86" s="2" t="s">
        <v>335</v>
      </c>
      <c r="E86" s="4">
        <v>10</v>
      </c>
      <c r="F86" s="4">
        <v>30</v>
      </c>
      <c r="G86" s="4">
        <v>6</v>
      </c>
      <c r="H86" s="4">
        <v>2003</v>
      </c>
      <c r="I86" s="2" t="s">
        <v>856</v>
      </c>
      <c r="J86" s="3" t="s">
        <v>26</v>
      </c>
      <c r="K86" s="6">
        <v>37</v>
      </c>
      <c r="L86" s="6">
        <v>149</v>
      </c>
      <c r="M86" s="6">
        <v>0</v>
      </c>
      <c r="O86" s="1">
        <f>(K86/(K86+ L86 +M86))</f>
        <v>0.19892473118279569</v>
      </c>
      <c r="P86" s="1">
        <f>(L86/(K86+ L86 +M86))</f>
        <v>0.80107526881720426</v>
      </c>
      <c r="Q86" s="1">
        <f>(M86/(K86+ L86 +M86))</f>
        <v>0</v>
      </c>
    </row>
    <row r="87" spans="1:17" ht="16" x14ac:dyDescent="0.2">
      <c r="A87" s="4">
        <v>155786</v>
      </c>
      <c r="B87" s="2" t="s">
        <v>857</v>
      </c>
      <c r="C87" s="2" t="s">
        <v>43</v>
      </c>
      <c r="D87" s="2" t="s">
        <v>335</v>
      </c>
      <c r="E87" s="4">
        <v>9</v>
      </c>
      <c r="F87" s="4">
        <v>27</v>
      </c>
      <c r="G87" s="4">
        <v>6</v>
      </c>
      <c r="H87" s="4">
        <v>2003</v>
      </c>
      <c r="I87" s="2" t="s">
        <v>856</v>
      </c>
      <c r="J87" s="3" t="s">
        <v>26</v>
      </c>
      <c r="K87" s="6">
        <v>109</v>
      </c>
      <c r="L87" s="6">
        <v>50</v>
      </c>
      <c r="M87" s="6">
        <v>0</v>
      </c>
      <c r="O87" s="1">
        <f>(K87/(K87+ L87 +M87))</f>
        <v>0.68553459119496851</v>
      </c>
      <c r="P87" s="1">
        <f>(L87/(K87+ L87 +M87))</f>
        <v>0.31446540880503143</v>
      </c>
      <c r="Q87" s="1">
        <f>(M87/(K87+ L87 +M87))</f>
        <v>0</v>
      </c>
    </row>
    <row r="88" spans="1:17" ht="16" x14ac:dyDescent="0.2">
      <c r="A88" s="4">
        <v>36817</v>
      </c>
      <c r="B88" s="2" t="s">
        <v>855</v>
      </c>
      <c r="C88" s="2" t="s">
        <v>43</v>
      </c>
      <c r="D88" s="2" t="s">
        <v>277</v>
      </c>
      <c r="E88" s="4">
        <v>7918</v>
      </c>
      <c r="F88" s="4">
        <v>6</v>
      </c>
      <c r="G88" s="4">
        <v>7</v>
      </c>
      <c r="H88" s="4">
        <v>1979</v>
      </c>
      <c r="I88" s="2" t="s">
        <v>854</v>
      </c>
      <c r="J88" s="3" t="s">
        <v>26</v>
      </c>
      <c r="K88" s="6">
        <v>0</v>
      </c>
      <c r="L88" s="6">
        <v>31</v>
      </c>
      <c r="M88" s="6">
        <v>12</v>
      </c>
      <c r="O88" s="1">
        <f>(K88/(K88+ L88 +M88))</f>
        <v>0</v>
      </c>
      <c r="P88" s="1">
        <f>(L88/(K88+ L88 +M88))</f>
        <v>0.72093023255813948</v>
      </c>
      <c r="Q88" s="1">
        <f>(M88/(K88+ L88 +M88))</f>
        <v>0.27906976744186046</v>
      </c>
    </row>
    <row r="89" spans="1:17" ht="16" x14ac:dyDescent="0.2">
      <c r="A89" s="4">
        <v>93112</v>
      </c>
      <c r="B89" s="2" t="s">
        <v>853</v>
      </c>
      <c r="C89" s="2" t="s">
        <v>43</v>
      </c>
      <c r="D89" s="2" t="s">
        <v>73</v>
      </c>
      <c r="E89" s="2" t="s">
        <v>852</v>
      </c>
      <c r="F89" s="4">
        <v>17</v>
      </c>
      <c r="G89" s="4">
        <v>7</v>
      </c>
      <c r="H89" s="4">
        <v>1990</v>
      </c>
      <c r="I89" s="2" t="s">
        <v>851</v>
      </c>
      <c r="J89" s="3" t="s">
        <v>26</v>
      </c>
      <c r="K89" s="6">
        <v>0</v>
      </c>
      <c r="L89" s="6">
        <v>0</v>
      </c>
      <c r="M89" s="6">
        <v>46</v>
      </c>
      <c r="O89" s="1">
        <f>(K89/(K89+ L89 +M89))</f>
        <v>0</v>
      </c>
      <c r="P89" s="1">
        <f>(L89/(K89+ L89 +M89))</f>
        <v>0</v>
      </c>
      <c r="Q89" s="1">
        <f>(M89/(K89+ L89 +M89))</f>
        <v>1</v>
      </c>
    </row>
    <row r="90" spans="1:17" ht="16" x14ac:dyDescent="0.2">
      <c r="A90" s="4">
        <v>27961</v>
      </c>
      <c r="B90" s="2" t="s">
        <v>850</v>
      </c>
      <c r="C90" s="2" t="s">
        <v>43</v>
      </c>
      <c r="D90" s="2" t="s">
        <v>615</v>
      </c>
      <c r="E90" s="2" t="s">
        <v>244</v>
      </c>
      <c r="F90" s="4">
        <v>9</v>
      </c>
      <c r="G90" s="4">
        <v>7</v>
      </c>
      <c r="H90" s="4">
        <v>1969</v>
      </c>
      <c r="I90" s="2" t="s">
        <v>849</v>
      </c>
      <c r="J90" s="3" t="s">
        <v>26</v>
      </c>
      <c r="K90" s="6">
        <v>1</v>
      </c>
      <c r="L90" s="6">
        <v>52</v>
      </c>
      <c r="M90" s="6">
        <v>3</v>
      </c>
      <c r="O90" s="1">
        <f>(K90/(K90+ L90 +M90))</f>
        <v>1.7857142857142856E-2</v>
      </c>
      <c r="P90" s="1">
        <f>(L90/(K90+ L90 +M90))</f>
        <v>0.9285714285714286</v>
      </c>
      <c r="Q90" s="1">
        <f>(M90/(K90+ L90 +M90))</f>
        <v>5.3571428571428568E-2</v>
      </c>
    </row>
    <row r="91" spans="1:17" ht="16" x14ac:dyDescent="0.2">
      <c r="A91" s="4">
        <v>93263</v>
      </c>
      <c r="B91" s="2" t="s">
        <v>848</v>
      </c>
      <c r="C91" s="2" t="s">
        <v>43</v>
      </c>
      <c r="D91" s="2" t="s">
        <v>73</v>
      </c>
      <c r="E91" s="2" t="s">
        <v>847</v>
      </c>
      <c r="F91" s="4">
        <v>17</v>
      </c>
      <c r="G91" s="4">
        <v>7</v>
      </c>
      <c r="H91" s="4">
        <v>1990</v>
      </c>
      <c r="I91" s="2" t="s">
        <v>846</v>
      </c>
      <c r="J91" s="3" t="s">
        <v>26</v>
      </c>
      <c r="K91" s="6">
        <v>0</v>
      </c>
      <c r="L91" s="6">
        <v>0</v>
      </c>
      <c r="M91" s="6">
        <v>54</v>
      </c>
      <c r="O91" s="1">
        <f>(K91/(K91+ L91 +M91))</f>
        <v>0</v>
      </c>
      <c r="P91" s="1">
        <f>(L91/(K91+ L91 +M91))</f>
        <v>0</v>
      </c>
      <c r="Q91" s="1">
        <f>(M91/(K91+ L91 +M91))</f>
        <v>1</v>
      </c>
    </row>
    <row r="92" spans="1:17" ht="16" x14ac:dyDescent="0.2">
      <c r="A92" s="4">
        <v>92541</v>
      </c>
      <c r="B92" s="2" t="s">
        <v>845</v>
      </c>
      <c r="C92" s="2" t="s">
        <v>833</v>
      </c>
      <c r="D92" s="2" t="s">
        <v>409</v>
      </c>
      <c r="E92" s="2" t="s">
        <v>844</v>
      </c>
      <c r="F92" s="4">
        <v>19</v>
      </c>
      <c r="G92" s="4">
        <v>6</v>
      </c>
      <c r="H92" s="4">
        <v>1990</v>
      </c>
      <c r="I92" s="2" t="s">
        <v>843</v>
      </c>
      <c r="J92" s="3" t="s">
        <v>26</v>
      </c>
      <c r="K92" s="6">
        <v>1</v>
      </c>
      <c r="L92" s="6">
        <v>62</v>
      </c>
      <c r="M92" s="6">
        <v>7</v>
      </c>
      <c r="O92" s="1">
        <f>(K92/(K92+ L92 +M92))</f>
        <v>1.4285714285714285E-2</v>
      </c>
      <c r="P92" s="1">
        <f>(L92/(K92+ L92 +M92))</f>
        <v>0.88571428571428568</v>
      </c>
      <c r="Q92" s="1">
        <f>(M92/(K92+ L92 +M92))</f>
        <v>0.1</v>
      </c>
    </row>
    <row r="93" spans="1:17" ht="16" x14ac:dyDescent="0.2">
      <c r="A93" s="4">
        <v>120843</v>
      </c>
      <c r="B93" s="2" t="s">
        <v>842</v>
      </c>
      <c r="C93" s="2" t="s">
        <v>833</v>
      </c>
      <c r="D93" s="2" t="s">
        <v>73</v>
      </c>
      <c r="E93" s="2" t="s">
        <v>841</v>
      </c>
      <c r="F93" s="4">
        <v>16</v>
      </c>
      <c r="G93" s="4">
        <v>8</v>
      </c>
      <c r="H93" s="4">
        <v>1994</v>
      </c>
      <c r="I93" s="2" t="s">
        <v>835</v>
      </c>
      <c r="J93" s="3" t="s">
        <v>26</v>
      </c>
      <c r="K93" s="6">
        <v>0</v>
      </c>
      <c r="L93" s="6">
        <v>0</v>
      </c>
      <c r="M93" s="6">
        <v>36</v>
      </c>
      <c r="O93" s="1">
        <f>(K93/(K93+ L93 +M93))</f>
        <v>0</v>
      </c>
      <c r="P93" s="1">
        <f>(L93/(K93+ L93 +M93))</f>
        <v>0</v>
      </c>
      <c r="Q93" s="1">
        <f>(M93/(K93+ L93 +M93))</f>
        <v>1</v>
      </c>
    </row>
    <row r="94" spans="1:17" ht="16" x14ac:dyDescent="0.2">
      <c r="A94" s="4">
        <v>92613</v>
      </c>
      <c r="B94" s="2" t="s">
        <v>840</v>
      </c>
      <c r="C94" s="2" t="s">
        <v>833</v>
      </c>
      <c r="D94" s="2" t="s">
        <v>409</v>
      </c>
      <c r="E94" s="2" t="s">
        <v>839</v>
      </c>
      <c r="F94" s="4">
        <v>19</v>
      </c>
      <c r="G94" s="4">
        <v>6</v>
      </c>
      <c r="H94" s="4">
        <v>1990</v>
      </c>
      <c r="I94" s="2" t="s">
        <v>838</v>
      </c>
      <c r="J94" s="3" t="s">
        <v>26</v>
      </c>
      <c r="K94" s="6">
        <v>28</v>
      </c>
      <c r="L94" s="6">
        <v>24</v>
      </c>
      <c r="O94" s="1">
        <f>(K94/(K94+ L94 +M94))</f>
        <v>0.53846153846153844</v>
      </c>
      <c r="P94" s="1">
        <f>(L94/(K94+ L94 +M94))</f>
        <v>0.46153846153846156</v>
      </c>
      <c r="Q94" s="1">
        <f>(M94/(K94+ L94 +M94))</f>
        <v>0</v>
      </c>
    </row>
    <row r="95" spans="1:17" ht="16" x14ac:dyDescent="0.2">
      <c r="A95" s="4">
        <v>119776</v>
      </c>
      <c r="B95" s="2" t="s">
        <v>837</v>
      </c>
      <c r="C95" s="2" t="s">
        <v>833</v>
      </c>
      <c r="D95" s="2" t="s">
        <v>59</v>
      </c>
      <c r="E95" s="2" t="s">
        <v>836</v>
      </c>
      <c r="F95" s="4">
        <v>6</v>
      </c>
      <c r="G95" s="4">
        <v>6</v>
      </c>
      <c r="H95" s="4">
        <v>1994</v>
      </c>
      <c r="I95" s="2" t="s">
        <v>835</v>
      </c>
      <c r="J95" s="3" t="s">
        <v>26</v>
      </c>
      <c r="K95" s="6">
        <v>11</v>
      </c>
      <c r="L95" s="6">
        <v>12</v>
      </c>
      <c r="M95" s="6">
        <v>0</v>
      </c>
      <c r="O95" s="1">
        <f>(K95/(K95+ L95 +M95))</f>
        <v>0.47826086956521741</v>
      </c>
      <c r="P95" s="1">
        <f>(L95/(K95+ L95 +M95))</f>
        <v>0.52173913043478259</v>
      </c>
      <c r="Q95" s="1">
        <f>(M95/(K95+ L95 +M95))</f>
        <v>0</v>
      </c>
    </row>
    <row r="96" spans="1:17" ht="16" x14ac:dyDescent="0.2">
      <c r="A96" s="4">
        <v>122245</v>
      </c>
      <c r="B96" s="2" t="s">
        <v>834</v>
      </c>
      <c r="C96" s="2" t="s">
        <v>833</v>
      </c>
      <c r="D96" s="2" t="s">
        <v>14</v>
      </c>
      <c r="E96" s="2" t="s">
        <v>832</v>
      </c>
      <c r="F96" s="4">
        <v>30</v>
      </c>
      <c r="G96" s="4">
        <v>8</v>
      </c>
      <c r="H96" s="4">
        <v>1994</v>
      </c>
      <c r="I96" s="2" t="s">
        <v>831</v>
      </c>
      <c r="J96" s="3" t="s">
        <v>26</v>
      </c>
      <c r="K96" s="6">
        <v>0</v>
      </c>
      <c r="L96" s="6">
        <v>0</v>
      </c>
      <c r="M96" s="6">
        <v>49</v>
      </c>
      <c r="O96" s="1">
        <f>(K96/(K96+ L96 +M96))</f>
        <v>0</v>
      </c>
      <c r="P96" s="1">
        <f>(L96/(K96+ L96 +M96))</f>
        <v>0</v>
      </c>
      <c r="Q96" s="1">
        <f>(M96/(K96+ L96 +M96))</f>
        <v>1</v>
      </c>
    </row>
    <row r="97" spans="1:17" ht="16" x14ac:dyDescent="0.2">
      <c r="A97" s="4">
        <v>120631</v>
      </c>
      <c r="B97" s="2" t="s">
        <v>830</v>
      </c>
      <c r="C97" s="2" t="s">
        <v>204</v>
      </c>
      <c r="D97" s="2" t="s">
        <v>250</v>
      </c>
      <c r="E97" s="2" t="s">
        <v>829</v>
      </c>
      <c r="F97" s="4">
        <v>16</v>
      </c>
      <c r="G97" s="4">
        <v>8</v>
      </c>
      <c r="H97" s="4">
        <v>1994</v>
      </c>
      <c r="I97" s="2" t="s">
        <v>815</v>
      </c>
      <c r="J97" s="3" t="s">
        <v>26</v>
      </c>
      <c r="K97" s="2">
        <v>0</v>
      </c>
      <c r="L97" s="2">
        <v>0</v>
      </c>
      <c r="M97" s="2">
        <v>35</v>
      </c>
      <c r="N97" s="2"/>
      <c r="O97" s="1">
        <f>(K97/(K97+ L97 +M97))</f>
        <v>0</v>
      </c>
      <c r="P97" s="1">
        <f>(L97/(K97+ L97 +M97))</f>
        <v>0</v>
      </c>
      <c r="Q97" s="1">
        <f>(M97/(K97+ L97 +M97))</f>
        <v>1</v>
      </c>
    </row>
    <row r="98" spans="1:17" ht="16" x14ac:dyDescent="0.2">
      <c r="A98" s="4">
        <v>107201</v>
      </c>
      <c r="B98" s="2" t="s">
        <v>828</v>
      </c>
      <c r="C98" s="2" t="s">
        <v>204</v>
      </c>
      <c r="D98" s="2" t="s">
        <v>59</v>
      </c>
      <c r="E98" s="2" t="s">
        <v>827</v>
      </c>
      <c r="F98" s="4">
        <v>9</v>
      </c>
      <c r="G98" s="4">
        <v>10</v>
      </c>
      <c r="H98" s="4">
        <v>1992</v>
      </c>
      <c r="I98" s="2" t="s">
        <v>826</v>
      </c>
      <c r="J98" s="3" t="s">
        <v>26</v>
      </c>
      <c r="K98" s="2">
        <v>0</v>
      </c>
      <c r="L98" s="2">
        <v>0</v>
      </c>
      <c r="M98" s="2">
        <v>23</v>
      </c>
      <c r="N98" s="2"/>
      <c r="O98" s="1">
        <f>(K98/(K98+ L98 +M98))</f>
        <v>0</v>
      </c>
      <c r="P98" s="1">
        <f>(L98/(K98+ L98 +M98))</f>
        <v>0</v>
      </c>
      <c r="Q98" s="1">
        <f>(M98/(K98+ L98 +M98))</f>
        <v>1</v>
      </c>
    </row>
    <row r="99" spans="1:17" ht="16" x14ac:dyDescent="0.2">
      <c r="A99" s="4">
        <v>177322</v>
      </c>
      <c r="B99" s="2" t="s">
        <v>825</v>
      </c>
      <c r="C99" s="2" t="s">
        <v>204</v>
      </c>
      <c r="D99" s="2" t="s">
        <v>23</v>
      </c>
      <c r="E99" s="2" t="s">
        <v>824</v>
      </c>
      <c r="F99" s="4">
        <v>6</v>
      </c>
      <c r="G99" s="4">
        <v>8</v>
      </c>
      <c r="H99" s="4">
        <v>2013</v>
      </c>
      <c r="I99" s="2" t="s">
        <v>823</v>
      </c>
      <c r="J99" s="3" t="s">
        <v>26</v>
      </c>
      <c r="K99" s="2">
        <v>0</v>
      </c>
      <c r="L99" s="2">
        <v>0</v>
      </c>
      <c r="M99" s="2">
        <v>40</v>
      </c>
      <c r="N99" s="2"/>
      <c r="O99" s="1">
        <f>(K99/(K99+ L99 +M99))</f>
        <v>0</v>
      </c>
      <c r="P99" s="1">
        <f>(L99/(K99+ L99 +M99))</f>
        <v>0</v>
      </c>
      <c r="Q99" s="1">
        <f>(M99/(K99+ L99 +M99))</f>
        <v>1</v>
      </c>
    </row>
    <row r="100" spans="1:17" ht="16" x14ac:dyDescent="0.2">
      <c r="A100" s="4">
        <v>62459</v>
      </c>
      <c r="B100" s="2" t="s">
        <v>822</v>
      </c>
      <c r="C100" s="2" t="s">
        <v>204</v>
      </c>
      <c r="D100" s="2" t="s">
        <v>14</v>
      </c>
      <c r="E100" s="4">
        <v>6251</v>
      </c>
      <c r="F100" s="4">
        <v>9</v>
      </c>
      <c r="G100" s="4">
        <v>9</v>
      </c>
      <c r="H100" s="4">
        <v>1986</v>
      </c>
      <c r="I100" s="2" t="s">
        <v>821</v>
      </c>
      <c r="J100" s="3" t="s">
        <v>26</v>
      </c>
      <c r="K100" s="2">
        <v>0</v>
      </c>
      <c r="L100" s="2">
        <v>0</v>
      </c>
      <c r="M100" s="2">
        <v>11</v>
      </c>
      <c r="N100" s="2"/>
      <c r="O100" s="1">
        <f>(K100/(K100+ L100 +M100))</f>
        <v>0</v>
      </c>
      <c r="P100" s="1">
        <f>(L100/(K100+ L100 +M100))</f>
        <v>0</v>
      </c>
      <c r="Q100" s="1">
        <f>(M100/(K100+ L100 +M100))</f>
        <v>1</v>
      </c>
    </row>
    <row r="101" spans="1:17" ht="16" x14ac:dyDescent="0.2">
      <c r="A101" s="4">
        <v>106266</v>
      </c>
      <c r="B101" s="2" t="s">
        <v>820</v>
      </c>
      <c r="C101" s="2" t="s">
        <v>204</v>
      </c>
      <c r="D101" s="2" t="s">
        <v>73</v>
      </c>
      <c r="E101" s="2" t="s">
        <v>819</v>
      </c>
      <c r="F101" s="4">
        <v>1</v>
      </c>
      <c r="G101" s="4">
        <v>9</v>
      </c>
      <c r="H101" s="4">
        <v>1992</v>
      </c>
      <c r="I101" s="2" t="s">
        <v>818</v>
      </c>
      <c r="J101" s="3" t="s">
        <v>26</v>
      </c>
      <c r="K101" s="2">
        <v>0</v>
      </c>
      <c r="L101" s="2">
        <v>0</v>
      </c>
      <c r="M101" s="2">
        <v>24</v>
      </c>
      <c r="N101" s="2"/>
      <c r="O101" s="1">
        <f>(K101/(K101+ L101 +M101))</f>
        <v>0</v>
      </c>
      <c r="P101" s="1">
        <f>(L101/(K101+ L101 +M101))</f>
        <v>0</v>
      </c>
      <c r="Q101" s="1">
        <f>(M101/(K101+ L101 +M101))</f>
        <v>1</v>
      </c>
    </row>
    <row r="102" spans="1:17" ht="16" x14ac:dyDescent="0.2">
      <c r="A102" s="4">
        <v>120629</v>
      </c>
      <c r="B102" s="2" t="s">
        <v>817</v>
      </c>
      <c r="C102" s="2" t="s">
        <v>204</v>
      </c>
      <c r="D102" s="2" t="s">
        <v>250</v>
      </c>
      <c r="E102" s="2" t="s">
        <v>816</v>
      </c>
      <c r="F102" s="4">
        <v>16</v>
      </c>
      <c r="G102" s="4">
        <v>8</v>
      </c>
      <c r="H102" s="4">
        <v>1994</v>
      </c>
      <c r="I102" s="2" t="s">
        <v>815</v>
      </c>
      <c r="J102" s="3" t="s">
        <v>26</v>
      </c>
      <c r="K102" s="2">
        <v>0</v>
      </c>
      <c r="L102" s="2">
        <v>0</v>
      </c>
      <c r="M102" s="2">
        <v>97</v>
      </c>
      <c r="N102" s="2"/>
      <c r="O102" s="1">
        <f>(K102/(K102+ L102 +M102))</f>
        <v>0</v>
      </c>
      <c r="P102" s="1">
        <f>(L102/(K102+ L102 +M102))</f>
        <v>0</v>
      </c>
      <c r="Q102" s="1">
        <f>(M102/(K102+ L102 +M102))</f>
        <v>1</v>
      </c>
    </row>
    <row r="103" spans="1:17" ht="16" x14ac:dyDescent="0.2">
      <c r="A103" s="4">
        <v>120628</v>
      </c>
      <c r="B103" s="2" t="s">
        <v>814</v>
      </c>
      <c r="C103" s="2" t="s">
        <v>204</v>
      </c>
      <c r="D103" s="2" t="s">
        <v>250</v>
      </c>
      <c r="E103" s="2" t="s">
        <v>813</v>
      </c>
      <c r="F103" s="4">
        <v>16</v>
      </c>
      <c r="G103" s="4">
        <v>8</v>
      </c>
      <c r="H103" s="4">
        <v>1994</v>
      </c>
      <c r="I103" s="2" t="s">
        <v>812</v>
      </c>
      <c r="J103" s="3" t="s">
        <v>26</v>
      </c>
      <c r="K103" s="2">
        <v>0</v>
      </c>
      <c r="L103" s="2">
        <v>0</v>
      </c>
      <c r="M103" s="2">
        <v>12</v>
      </c>
      <c r="N103" s="2"/>
      <c r="O103" s="1">
        <f>(K103/(K103+ L103 +M103))</f>
        <v>0</v>
      </c>
      <c r="P103" s="1">
        <f>(L103/(K103+ L103 +M103))</f>
        <v>0</v>
      </c>
      <c r="Q103" s="1">
        <f>(M103/(K103+ L103 +M103))</f>
        <v>1</v>
      </c>
    </row>
    <row r="104" spans="1:17" ht="16" x14ac:dyDescent="0.2">
      <c r="A104" s="4">
        <v>120839</v>
      </c>
      <c r="B104" s="2" t="s">
        <v>811</v>
      </c>
      <c r="C104" s="2" t="s">
        <v>200</v>
      </c>
      <c r="D104" s="2" t="s">
        <v>250</v>
      </c>
      <c r="E104" s="2" t="s">
        <v>810</v>
      </c>
      <c r="F104" s="4">
        <v>16</v>
      </c>
      <c r="G104" s="4">
        <v>8</v>
      </c>
      <c r="H104" s="4">
        <v>1994</v>
      </c>
      <c r="I104" s="2" t="s">
        <v>809</v>
      </c>
      <c r="J104" s="3" t="s">
        <v>26</v>
      </c>
      <c r="K104" s="2">
        <v>0</v>
      </c>
      <c r="L104" s="2">
        <v>0</v>
      </c>
      <c r="M104" s="2">
        <v>11</v>
      </c>
      <c r="N104" s="2"/>
      <c r="O104" s="1">
        <f>(K104/(K104+ L104 +M104))</f>
        <v>0</v>
      </c>
      <c r="P104" s="1">
        <f>(L104/(K104+ L104 +M104))</f>
        <v>0</v>
      </c>
      <c r="Q104" s="1">
        <f>(M104/(K104+ L104 +M104))</f>
        <v>1</v>
      </c>
    </row>
    <row r="105" spans="1:17" ht="16" x14ac:dyDescent="0.2">
      <c r="A105" s="4">
        <v>98742</v>
      </c>
      <c r="B105" s="2" t="s">
        <v>808</v>
      </c>
      <c r="C105" s="2" t="s">
        <v>200</v>
      </c>
      <c r="D105" s="2" t="s">
        <v>59</v>
      </c>
      <c r="E105" s="2" t="s">
        <v>807</v>
      </c>
      <c r="F105" s="4">
        <v>16</v>
      </c>
      <c r="G105" s="4">
        <v>8</v>
      </c>
      <c r="H105" s="4">
        <v>1991</v>
      </c>
      <c r="I105" s="2" t="s">
        <v>806</v>
      </c>
      <c r="J105" s="3" t="s">
        <v>26</v>
      </c>
      <c r="K105" s="2">
        <v>0</v>
      </c>
      <c r="L105" s="2">
        <v>0</v>
      </c>
      <c r="M105" s="2">
        <v>7</v>
      </c>
      <c r="N105" s="2"/>
      <c r="O105" s="1">
        <f>(K105/(K105+ L105 +M105))</f>
        <v>0</v>
      </c>
      <c r="P105" s="1">
        <f>(L105/(K105+ L105 +M105))</f>
        <v>0</v>
      </c>
      <c r="Q105" s="1">
        <f>(M105/(K105+ L105 +M105))</f>
        <v>1</v>
      </c>
    </row>
    <row r="106" spans="1:17" ht="16" x14ac:dyDescent="0.2">
      <c r="A106" s="4">
        <v>177684</v>
      </c>
      <c r="B106" s="2" t="s">
        <v>805</v>
      </c>
      <c r="C106" s="2" t="s">
        <v>200</v>
      </c>
      <c r="D106" s="2" t="s">
        <v>219</v>
      </c>
      <c r="E106" s="2" t="s">
        <v>804</v>
      </c>
      <c r="F106" s="4">
        <v>15</v>
      </c>
      <c r="G106" s="4">
        <v>8</v>
      </c>
      <c r="H106" s="4">
        <v>2013</v>
      </c>
      <c r="I106" s="2" t="s">
        <v>198</v>
      </c>
      <c r="J106" s="3" t="s">
        <v>26</v>
      </c>
      <c r="K106" s="2">
        <v>0</v>
      </c>
      <c r="L106" s="2">
        <v>0</v>
      </c>
      <c r="M106" s="2">
        <v>6</v>
      </c>
      <c r="N106" s="2"/>
      <c r="O106" s="1">
        <f>(K106/(K106+ L106 +M106))</f>
        <v>0</v>
      </c>
      <c r="P106" s="1">
        <f>(L106/(K106+ L106 +M106))</f>
        <v>0</v>
      </c>
      <c r="Q106" s="1">
        <f>(M106/(K106+ L106 +M106))</f>
        <v>1</v>
      </c>
    </row>
    <row r="107" spans="1:17" ht="16" x14ac:dyDescent="0.2">
      <c r="A107" s="4">
        <v>98743</v>
      </c>
      <c r="B107" s="2" t="s">
        <v>803</v>
      </c>
      <c r="C107" s="2" t="s">
        <v>200</v>
      </c>
      <c r="D107" s="2" t="s">
        <v>59</v>
      </c>
      <c r="E107" s="2" t="s">
        <v>802</v>
      </c>
      <c r="F107" s="4">
        <v>15</v>
      </c>
      <c r="G107" s="4">
        <v>8</v>
      </c>
      <c r="H107" s="4">
        <v>1991</v>
      </c>
      <c r="I107" s="2" t="s">
        <v>801</v>
      </c>
      <c r="J107" s="3" t="s">
        <v>26</v>
      </c>
      <c r="K107" s="2">
        <v>0</v>
      </c>
      <c r="L107" s="2">
        <v>0</v>
      </c>
      <c r="M107" s="2">
        <v>3</v>
      </c>
      <c r="N107" s="2"/>
      <c r="O107" s="1">
        <f>(K107/(K107+ L107 +M107))</f>
        <v>0</v>
      </c>
      <c r="P107" s="1">
        <f>(L107/(K107+ L107 +M107))</f>
        <v>0</v>
      </c>
      <c r="Q107" s="1">
        <f>(M107/(K107+ L107 +M107))</f>
        <v>1</v>
      </c>
    </row>
    <row r="108" spans="1:17" ht="16" x14ac:dyDescent="0.2">
      <c r="A108" s="4">
        <v>36813</v>
      </c>
      <c r="B108" s="2" t="s">
        <v>800</v>
      </c>
      <c r="C108" s="2" t="s">
        <v>200</v>
      </c>
      <c r="D108" s="2" t="s">
        <v>14</v>
      </c>
      <c r="E108" s="4">
        <v>4751</v>
      </c>
      <c r="F108" s="4">
        <v>6</v>
      </c>
      <c r="G108" s="4">
        <v>7</v>
      </c>
      <c r="H108" s="4">
        <v>1979</v>
      </c>
      <c r="I108" s="2" t="s">
        <v>778</v>
      </c>
      <c r="J108" s="3" t="s">
        <v>26</v>
      </c>
      <c r="K108" s="2">
        <v>0</v>
      </c>
      <c r="L108" s="2">
        <v>0</v>
      </c>
      <c r="M108" s="2">
        <v>121</v>
      </c>
      <c r="N108" s="2"/>
      <c r="O108" s="1">
        <f>(K108/(K108+ L108 +M108))</f>
        <v>0</v>
      </c>
      <c r="P108" s="1">
        <f>(L108/(K108+ L108 +M108))</f>
        <v>0</v>
      </c>
      <c r="Q108" s="1">
        <f>(M108/(K108+ L108 +M108))</f>
        <v>1</v>
      </c>
    </row>
    <row r="109" spans="1:17" ht="16" x14ac:dyDescent="0.2">
      <c r="A109" s="4">
        <v>79007</v>
      </c>
      <c r="B109" s="2" t="s">
        <v>799</v>
      </c>
      <c r="C109" s="2" t="s">
        <v>200</v>
      </c>
      <c r="D109" s="2" t="s">
        <v>64</v>
      </c>
      <c r="E109" s="2" t="s">
        <v>798</v>
      </c>
      <c r="F109" s="4">
        <v>19</v>
      </c>
      <c r="G109" s="4">
        <v>8</v>
      </c>
      <c r="H109" s="4">
        <v>1987</v>
      </c>
      <c r="I109" s="2" t="s">
        <v>797</v>
      </c>
      <c r="J109" s="3" t="s">
        <v>26</v>
      </c>
      <c r="K109" s="2">
        <v>0</v>
      </c>
      <c r="L109" s="2">
        <v>0</v>
      </c>
      <c r="M109" s="2">
        <v>8</v>
      </c>
      <c r="N109" s="2"/>
      <c r="O109" s="1">
        <f>(K109/(K109+ L109 +M109))</f>
        <v>0</v>
      </c>
      <c r="P109" s="1">
        <f>(L109/(K109+ L109 +M109))</f>
        <v>0</v>
      </c>
      <c r="Q109" s="1">
        <f>(M109/(K109+ L109 +M109))</f>
        <v>1</v>
      </c>
    </row>
    <row r="110" spans="1:17" ht="16" x14ac:dyDescent="0.2">
      <c r="A110" s="4">
        <v>27999</v>
      </c>
      <c r="B110" s="2" t="s">
        <v>796</v>
      </c>
      <c r="C110" s="2" t="s">
        <v>784</v>
      </c>
      <c r="D110" s="2" t="s">
        <v>795</v>
      </c>
      <c r="E110" s="2" t="s">
        <v>244</v>
      </c>
      <c r="F110" s="4">
        <v>29</v>
      </c>
      <c r="G110" s="4">
        <v>6</v>
      </c>
      <c r="H110" s="4">
        <v>1971</v>
      </c>
      <c r="I110" s="2" t="s">
        <v>794</v>
      </c>
      <c r="J110" s="3" t="s">
        <v>26</v>
      </c>
      <c r="K110" s="2">
        <v>0</v>
      </c>
      <c r="L110" s="2">
        <v>14</v>
      </c>
      <c r="M110" s="2">
        <v>28</v>
      </c>
      <c r="N110" s="2"/>
      <c r="O110" s="1">
        <f>(K110/(K110+ L110 +M110))</f>
        <v>0</v>
      </c>
      <c r="P110" s="1">
        <f>(L110/(K110+ L110 +M110))</f>
        <v>0.33333333333333331</v>
      </c>
      <c r="Q110" s="1">
        <f>(M110/(K110+ L110 +M110))</f>
        <v>0.66666666666666663</v>
      </c>
    </row>
    <row r="111" spans="1:17" ht="16" x14ac:dyDescent="0.2">
      <c r="A111" s="4">
        <v>72837</v>
      </c>
      <c r="B111" s="2" t="s">
        <v>793</v>
      </c>
      <c r="C111" s="2" t="s">
        <v>784</v>
      </c>
      <c r="D111" s="2" t="s">
        <v>64</v>
      </c>
      <c r="E111" s="2" t="s">
        <v>792</v>
      </c>
      <c r="F111" s="4">
        <v>16</v>
      </c>
      <c r="G111" s="4">
        <v>6</v>
      </c>
      <c r="H111" s="4">
        <v>1987</v>
      </c>
      <c r="I111" s="2" t="s">
        <v>791</v>
      </c>
      <c r="J111" s="3" t="s">
        <v>26</v>
      </c>
      <c r="K111" s="2">
        <v>0</v>
      </c>
      <c r="L111" s="2">
        <v>1</v>
      </c>
      <c r="M111" s="2">
        <v>27</v>
      </c>
      <c r="N111" s="2"/>
      <c r="O111" s="1">
        <f>(K111/(K111+ L111 +M111))</f>
        <v>0</v>
      </c>
      <c r="P111" s="1">
        <f>(L111/(K111+ L111 +M111))</f>
        <v>3.5714285714285712E-2</v>
      </c>
      <c r="Q111" s="1">
        <f>(M111/(K111+ L111 +M111))</f>
        <v>0.9642857142857143</v>
      </c>
    </row>
    <row r="112" spans="1:17" ht="16" x14ac:dyDescent="0.2">
      <c r="A112" s="4">
        <v>92556</v>
      </c>
      <c r="B112" s="2" t="s">
        <v>790</v>
      </c>
      <c r="C112" s="2" t="s">
        <v>784</v>
      </c>
      <c r="D112" s="2" t="s">
        <v>409</v>
      </c>
      <c r="E112" s="2" t="s">
        <v>789</v>
      </c>
      <c r="F112" s="4">
        <v>19</v>
      </c>
      <c r="G112" s="4">
        <v>6</v>
      </c>
      <c r="H112" s="4">
        <v>1990</v>
      </c>
      <c r="I112" s="2" t="s">
        <v>788</v>
      </c>
      <c r="J112" s="3" t="s">
        <v>26</v>
      </c>
      <c r="K112" s="2">
        <v>1</v>
      </c>
      <c r="L112" s="2">
        <v>13</v>
      </c>
      <c r="M112" s="2">
        <v>3</v>
      </c>
      <c r="N112" s="2"/>
      <c r="O112" s="1">
        <f>(K112/(K112+ L112 +M112))</f>
        <v>5.8823529411764705E-2</v>
      </c>
      <c r="P112" s="1">
        <f>(L112/(K112+ L112 +M112))</f>
        <v>0.76470588235294112</v>
      </c>
      <c r="Q112" s="1">
        <f>(M112/(K112+ L112 +M112))</f>
        <v>0.17647058823529413</v>
      </c>
    </row>
    <row r="113" spans="1:17" ht="16" x14ac:dyDescent="0.2">
      <c r="A113" s="4">
        <v>28000</v>
      </c>
      <c r="B113" s="2" t="s">
        <v>787</v>
      </c>
      <c r="C113" s="2" t="s">
        <v>784</v>
      </c>
      <c r="D113" s="2" t="s">
        <v>309</v>
      </c>
      <c r="E113" s="4">
        <v>437</v>
      </c>
      <c r="F113" s="4">
        <v>2</v>
      </c>
      <c r="G113" s="4">
        <v>7</v>
      </c>
      <c r="H113" s="4">
        <v>1970</v>
      </c>
      <c r="I113" s="2" t="s">
        <v>786</v>
      </c>
      <c r="J113" s="3" t="s">
        <v>26</v>
      </c>
      <c r="K113" s="2">
        <v>0</v>
      </c>
      <c r="L113" s="2">
        <v>0</v>
      </c>
      <c r="M113" s="2">
        <v>17</v>
      </c>
      <c r="N113" s="2"/>
      <c r="O113" s="1">
        <f>(K113/(K113+ L113 +M113))</f>
        <v>0</v>
      </c>
      <c r="P113" s="1">
        <f>(L113/(K113+ L113 +M113))</f>
        <v>0</v>
      </c>
      <c r="Q113" s="1">
        <f>(M113/(K113+ L113 +M113))</f>
        <v>1</v>
      </c>
    </row>
    <row r="114" spans="1:17" ht="16" x14ac:dyDescent="0.2">
      <c r="A114" s="4">
        <v>153298</v>
      </c>
      <c r="B114" s="2" t="s">
        <v>785</v>
      </c>
      <c r="C114" s="2" t="s">
        <v>784</v>
      </c>
      <c r="D114" s="2" t="s">
        <v>277</v>
      </c>
      <c r="E114" s="4">
        <v>7928</v>
      </c>
      <c r="F114" s="4">
        <v>2</v>
      </c>
      <c r="G114" s="4">
        <v>8</v>
      </c>
      <c r="H114" s="4">
        <v>1979</v>
      </c>
      <c r="I114" s="2" t="s">
        <v>783</v>
      </c>
      <c r="J114" s="3" t="s">
        <v>26</v>
      </c>
      <c r="K114" s="2">
        <v>0</v>
      </c>
      <c r="L114" s="2">
        <v>0</v>
      </c>
      <c r="M114" s="2">
        <v>41</v>
      </c>
      <c r="N114" s="2"/>
      <c r="O114" s="1">
        <f>(K114/(K114+ L114 +M114))</f>
        <v>0</v>
      </c>
      <c r="P114" s="1">
        <f>(L114/(K114+ L114 +M114))</f>
        <v>0</v>
      </c>
      <c r="Q114" s="1">
        <f>(M114/(K114+ L114 +M114))</f>
        <v>1</v>
      </c>
    </row>
    <row r="115" spans="1:17" ht="16" x14ac:dyDescent="0.2">
      <c r="A115" s="4">
        <v>36812</v>
      </c>
      <c r="B115" s="2" t="s">
        <v>782</v>
      </c>
      <c r="C115" s="2" t="s">
        <v>190</v>
      </c>
      <c r="D115" s="2" t="s">
        <v>14</v>
      </c>
      <c r="E115" s="4">
        <v>4753</v>
      </c>
      <c r="F115" s="4">
        <v>6</v>
      </c>
      <c r="G115" s="4">
        <v>7</v>
      </c>
      <c r="H115" s="4">
        <v>1979</v>
      </c>
      <c r="I115" s="2" t="s">
        <v>781</v>
      </c>
      <c r="J115" s="3" t="s">
        <v>26</v>
      </c>
      <c r="K115" s="2">
        <v>0</v>
      </c>
      <c r="L115" s="2">
        <v>0</v>
      </c>
      <c r="M115" s="2">
        <v>153</v>
      </c>
      <c r="N115" s="2"/>
      <c r="O115" s="1">
        <f>(K115/(K115+ L115 +M115))</f>
        <v>0</v>
      </c>
      <c r="P115" s="1">
        <f>(L115/(K115+ L115 +M115))</f>
        <v>0</v>
      </c>
      <c r="Q115" s="1">
        <f>(M115/(K115+ L115 +M115))</f>
        <v>1</v>
      </c>
    </row>
    <row r="116" spans="1:17" ht="16" x14ac:dyDescent="0.2">
      <c r="A116" s="4">
        <v>112814</v>
      </c>
      <c r="B116" s="2" t="s">
        <v>780</v>
      </c>
      <c r="C116" s="2" t="s">
        <v>190</v>
      </c>
      <c r="D116" s="2" t="s">
        <v>370</v>
      </c>
      <c r="E116" s="2" t="s">
        <v>779</v>
      </c>
      <c r="F116" s="4">
        <v>23</v>
      </c>
      <c r="G116" s="4">
        <v>6</v>
      </c>
      <c r="H116" s="4">
        <v>1993</v>
      </c>
      <c r="I116" s="2" t="s">
        <v>778</v>
      </c>
      <c r="J116" s="3" t="s">
        <v>26</v>
      </c>
      <c r="K116" s="2">
        <v>19</v>
      </c>
      <c r="L116" s="2">
        <v>24</v>
      </c>
      <c r="M116" s="2">
        <v>2</v>
      </c>
      <c r="N116" s="2"/>
      <c r="O116" s="1">
        <f>(K116/(K116+ L116 +M116))</f>
        <v>0.42222222222222222</v>
      </c>
      <c r="P116" s="1">
        <f>(L116/(K116+ L116 +M116))</f>
        <v>0.53333333333333333</v>
      </c>
      <c r="Q116" s="1">
        <f>(M116/(K116+ L116 +M116))</f>
        <v>4.4444444444444446E-2</v>
      </c>
    </row>
    <row r="117" spans="1:17" ht="16" x14ac:dyDescent="0.2">
      <c r="A117" s="4">
        <v>112817</v>
      </c>
      <c r="B117" s="2" t="s">
        <v>777</v>
      </c>
      <c r="C117" s="2" t="s">
        <v>190</v>
      </c>
      <c r="D117" s="2" t="s">
        <v>370</v>
      </c>
      <c r="E117" s="2" t="s">
        <v>776</v>
      </c>
      <c r="F117" s="4">
        <v>25</v>
      </c>
      <c r="G117" s="4">
        <v>6</v>
      </c>
      <c r="H117" s="4">
        <v>1993</v>
      </c>
      <c r="I117" s="2" t="s">
        <v>775</v>
      </c>
      <c r="J117" s="3" t="s">
        <v>26</v>
      </c>
      <c r="K117" s="2">
        <v>10</v>
      </c>
      <c r="L117" s="2">
        <v>20</v>
      </c>
      <c r="M117" s="2">
        <v>2</v>
      </c>
      <c r="N117" s="2"/>
      <c r="O117" s="1">
        <f>(K117/(K117+ L117 +M117))</f>
        <v>0.3125</v>
      </c>
      <c r="P117" s="1">
        <f>(L117/(K117+ L117 +M117))</f>
        <v>0.625</v>
      </c>
      <c r="Q117" s="1">
        <f>(M117/(K117+ L117 +M117))</f>
        <v>6.25E-2</v>
      </c>
    </row>
    <row r="118" spans="1:17" ht="16" x14ac:dyDescent="0.2">
      <c r="A118" s="4">
        <v>177526</v>
      </c>
      <c r="B118" s="2" t="s">
        <v>774</v>
      </c>
      <c r="C118" s="2" t="s">
        <v>190</v>
      </c>
      <c r="D118" s="2" t="s">
        <v>23</v>
      </c>
      <c r="E118" s="2" t="s">
        <v>773</v>
      </c>
      <c r="F118" s="4">
        <v>16</v>
      </c>
      <c r="G118" s="4">
        <v>7</v>
      </c>
      <c r="H118" s="4">
        <v>2013</v>
      </c>
      <c r="I118" s="2" t="s">
        <v>195</v>
      </c>
      <c r="J118" s="3" t="s">
        <v>26</v>
      </c>
      <c r="K118" s="2">
        <v>0</v>
      </c>
      <c r="L118" s="2">
        <v>0</v>
      </c>
      <c r="M118" s="2">
        <v>40</v>
      </c>
      <c r="N118" s="2"/>
      <c r="O118" s="1">
        <f>(K118/(K118+ L118 +M118))</f>
        <v>0</v>
      </c>
      <c r="P118" s="1">
        <f>(L118/(K118+ L118 +M118))</f>
        <v>0</v>
      </c>
      <c r="Q118" s="1">
        <f>(M118/(K118+ L118 +M118))</f>
        <v>1</v>
      </c>
    </row>
    <row r="119" spans="1:17" ht="16" x14ac:dyDescent="0.2">
      <c r="A119" s="4">
        <v>112873</v>
      </c>
      <c r="B119" s="2" t="s">
        <v>772</v>
      </c>
      <c r="C119" s="2" t="s">
        <v>190</v>
      </c>
      <c r="D119" s="2" t="s">
        <v>59</v>
      </c>
      <c r="E119" s="2" t="s">
        <v>771</v>
      </c>
      <c r="F119" s="4">
        <v>22</v>
      </c>
      <c r="G119" s="4">
        <v>6</v>
      </c>
      <c r="H119" s="4">
        <v>1993</v>
      </c>
      <c r="I119" s="2" t="s">
        <v>770</v>
      </c>
      <c r="J119" s="3" t="s">
        <v>26</v>
      </c>
      <c r="K119" s="2">
        <v>41</v>
      </c>
      <c r="L119" s="2">
        <v>40</v>
      </c>
      <c r="M119" s="2">
        <v>0</v>
      </c>
      <c r="N119" s="2"/>
      <c r="O119" s="1">
        <f>(K119/(K119+ L119 +M119))</f>
        <v>0.50617283950617287</v>
      </c>
      <c r="P119" s="1">
        <f>(L119/(K119+ L119 +M119))</f>
        <v>0.49382716049382713</v>
      </c>
      <c r="Q119" s="1">
        <f>(M119/(K119+ L119 +M119))</f>
        <v>0</v>
      </c>
    </row>
    <row r="120" spans="1:17" ht="16" x14ac:dyDescent="0.2">
      <c r="A120" s="4">
        <v>79930</v>
      </c>
      <c r="B120" s="2" t="s">
        <v>769</v>
      </c>
      <c r="C120" s="2" t="s">
        <v>766</v>
      </c>
      <c r="D120" s="2" t="s">
        <v>64</v>
      </c>
      <c r="E120" s="2" t="s">
        <v>768</v>
      </c>
      <c r="F120" s="4">
        <v>22</v>
      </c>
      <c r="G120" s="4">
        <v>6</v>
      </c>
      <c r="H120" s="4">
        <v>1988</v>
      </c>
      <c r="I120" s="2" t="s">
        <v>763</v>
      </c>
      <c r="J120" s="3" t="s">
        <v>26</v>
      </c>
      <c r="K120" s="2">
        <v>26</v>
      </c>
      <c r="L120" s="2">
        <v>9</v>
      </c>
      <c r="M120" s="2">
        <v>0</v>
      </c>
      <c r="N120" s="2"/>
      <c r="O120" s="1">
        <f>(K120/(K120+ L120 +M120))</f>
        <v>0.74285714285714288</v>
      </c>
      <c r="P120" s="1">
        <f>(L120/(K120+ L120 +M120))</f>
        <v>0.25714285714285712</v>
      </c>
      <c r="Q120" s="1">
        <f>(M120/(K120+ L120 +M120))</f>
        <v>0</v>
      </c>
    </row>
    <row r="121" spans="1:17" ht="16" x14ac:dyDescent="0.2">
      <c r="A121" s="4">
        <v>74121</v>
      </c>
      <c r="B121" s="2" t="s">
        <v>767</v>
      </c>
      <c r="C121" s="2" t="s">
        <v>766</v>
      </c>
      <c r="D121" s="2" t="s">
        <v>765</v>
      </c>
      <c r="E121" s="2" t="s">
        <v>764</v>
      </c>
      <c r="F121" s="4">
        <v>11</v>
      </c>
      <c r="G121" s="4">
        <v>8</v>
      </c>
      <c r="H121" s="4">
        <v>1987</v>
      </c>
      <c r="I121" s="2" t="s">
        <v>763</v>
      </c>
      <c r="J121" s="3" t="s">
        <v>26</v>
      </c>
      <c r="K121" s="2">
        <v>0</v>
      </c>
      <c r="L121" s="2">
        <v>0</v>
      </c>
      <c r="M121" s="2">
        <v>44</v>
      </c>
      <c r="N121" s="2"/>
      <c r="O121" s="1">
        <f>(K121/(K121+ L121 +M121))</f>
        <v>0</v>
      </c>
      <c r="P121" s="1">
        <f>(L121/(K121+ L121 +M121))</f>
        <v>0</v>
      </c>
      <c r="Q121" s="1">
        <f>(M121/(K121+ L121 +M121))</f>
        <v>1</v>
      </c>
    </row>
    <row r="122" spans="1:17" ht="16" x14ac:dyDescent="0.2">
      <c r="A122" s="4">
        <v>28021</v>
      </c>
      <c r="B122" s="2" t="s">
        <v>762</v>
      </c>
      <c r="C122" s="2" t="s">
        <v>12</v>
      </c>
      <c r="D122" s="2" t="s">
        <v>761</v>
      </c>
      <c r="E122" s="2" t="s">
        <v>244</v>
      </c>
      <c r="F122" s="4">
        <v>16</v>
      </c>
      <c r="G122" s="4">
        <v>7</v>
      </c>
      <c r="H122" s="4">
        <v>1924</v>
      </c>
      <c r="I122" s="2"/>
      <c r="J122" s="3" t="s">
        <v>26</v>
      </c>
      <c r="K122" s="6">
        <v>35</v>
      </c>
      <c r="L122" s="6">
        <v>60</v>
      </c>
      <c r="M122" s="6">
        <v>0</v>
      </c>
      <c r="O122" s="1">
        <f>(K122/(K122+ L122 +M122))</f>
        <v>0.36842105263157893</v>
      </c>
      <c r="P122" s="1">
        <f>(L122/(K122+ L122 +M122))</f>
        <v>0.63157894736842102</v>
      </c>
      <c r="Q122" s="1">
        <f>(M122/(K122+ L122 +M122))</f>
        <v>0</v>
      </c>
    </row>
    <row r="123" spans="1:17" ht="16" x14ac:dyDescent="0.2">
      <c r="A123" s="4">
        <v>172717</v>
      </c>
      <c r="B123" s="2" t="s">
        <v>760</v>
      </c>
      <c r="C123" s="2" t="s">
        <v>9</v>
      </c>
      <c r="D123" s="2" t="s">
        <v>69</v>
      </c>
      <c r="E123" s="2" t="s">
        <v>759</v>
      </c>
      <c r="F123" s="4">
        <v>25</v>
      </c>
      <c r="G123" s="4">
        <v>8</v>
      </c>
      <c r="H123" s="4">
        <v>2011</v>
      </c>
      <c r="I123" s="2" t="s">
        <v>137</v>
      </c>
      <c r="J123" s="3" t="s">
        <v>26</v>
      </c>
      <c r="K123" s="6">
        <v>0</v>
      </c>
      <c r="L123" s="6">
        <v>0</v>
      </c>
      <c r="M123" s="6">
        <v>4</v>
      </c>
      <c r="O123" s="1">
        <f>(K123/(K123+ L123 +M123))</f>
        <v>0</v>
      </c>
      <c r="P123" s="1">
        <f>(L123/(K123+ L123 +M123))</f>
        <v>0</v>
      </c>
      <c r="Q123" s="1">
        <f>(M123/(K123+ L123 +M123))</f>
        <v>1</v>
      </c>
    </row>
    <row r="124" spans="1:17" ht="16" x14ac:dyDescent="0.2">
      <c r="A124" s="4">
        <v>187352</v>
      </c>
      <c r="B124" s="2" t="s">
        <v>758</v>
      </c>
      <c r="C124" s="2" t="s">
        <v>754</v>
      </c>
      <c r="D124" s="2" t="s">
        <v>757</v>
      </c>
      <c r="E124" s="2" t="s">
        <v>756</v>
      </c>
      <c r="F124" s="4">
        <v>12</v>
      </c>
      <c r="G124" s="4">
        <v>7</v>
      </c>
      <c r="H124" s="4">
        <v>2019</v>
      </c>
      <c r="I124" s="2" t="s">
        <v>752</v>
      </c>
      <c r="J124" s="3" t="s">
        <v>26</v>
      </c>
      <c r="K124" s="2">
        <v>0</v>
      </c>
      <c r="L124" s="2">
        <v>35</v>
      </c>
      <c r="M124" s="2">
        <v>20</v>
      </c>
      <c r="N124" s="2"/>
      <c r="O124" s="1">
        <f>(K124/(K124+ L124 +M124))</f>
        <v>0</v>
      </c>
      <c r="P124" s="1">
        <f>(L124/(K124+ L124 +M124))</f>
        <v>0.63636363636363635</v>
      </c>
      <c r="Q124" s="1">
        <f>(M124/(K124+ L124 +M124))</f>
        <v>0.36363636363636365</v>
      </c>
    </row>
    <row r="125" spans="1:17" ht="16" x14ac:dyDescent="0.2">
      <c r="A125" s="4">
        <v>186495</v>
      </c>
      <c r="B125" s="2" t="s">
        <v>755</v>
      </c>
      <c r="C125" s="2" t="s">
        <v>754</v>
      </c>
      <c r="D125" s="2" t="s">
        <v>69</v>
      </c>
      <c r="E125" s="2" t="s">
        <v>753</v>
      </c>
      <c r="F125" s="4">
        <v>4</v>
      </c>
      <c r="G125" s="4">
        <v>10</v>
      </c>
      <c r="H125" s="4">
        <v>2018</v>
      </c>
      <c r="I125" s="2" t="s">
        <v>752</v>
      </c>
      <c r="J125" s="3" t="s">
        <v>26</v>
      </c>
      <c r="K125" s="2">
        <v>0</v>
      </c>
      <c r="L125" s="2">
        <v>0</v>
      </c>
      <c r="M125" s="2">
        <v>2</v>
      </c>
      <c r="N125" s="2"/>
      <c r="O125" s="1">
        <f>(K125/(K125+ L125 +M125))</f>
        <v>0</v>
      </c>
      <c r="P125" s="1">
        <f>(L125/(K125+ L125 +M125))</f>
        <v>0</v>
      </c>
      <c r="Q125" s="1">
        <f>(M125/(K125+ L125 +M125))</f>
        <v>1</v>
      </c>
    </row>
    <row r="126" spans="1:17" ht="16" x14ac:dyDescent="0.2">
      <c r="A126" s="4">
        <v>73911</v>
      </c>
      <c r="B126" s="2" t="s">
        <v>751</v>
      </c>
      <c r="C126" s="2" t="s">
        <v>339</v>
      </c>
      <c r="D126" s="2" t="s">
        <v>64</v>
      </c>
      <c r="E126" s="2" t="s">
        <v>750</v>
      </c>
      <c r="F126" s="4">
        <v>25</v>
      </c>
      <c r="G126" s="4">
        <v>7</v>
      </c>
      <c r="H126" s="4">
        <v>1987</v>
      </c>
      <c r="I126" s="2" t="s">
        <v>749</v>
      </c>
      <c r="J126" s="3" t="s">
        <v>26</v>
      </c>
      <c r="K126" s="2">
        <v>0</v>
      </c>
      <c r="L126" s="2">
        <v>0</v>
      </c>
      <c r="M126" s="2">
        <v>2</v>
      </c>
      <c r="N126" s="2"/>
      <c r="O126" s="1">
        <f>(K126/(K126+ L126 +M126))</f>
        <v>0</v>
      </c>
      <c r="P126" s="1">
        <f>(L126/(K126+ L126 +M126))</f>
        <v>0</v>
      </c>
      <c r="Q126" s="1">
        <f>(M126/(K126+ L126 +M126))</f>
        <v>1</v>
      </c>
    </row>
    <row r="127" spans="1:17" ht="16" x14ac:dyDescent="0.2">
      <c r="A127" s="4">
        <v>73924</v>
      </c>
      <c r="B127" s="2" t="s">
        <v>748</v>
      </c>
      <c r="C127" s="2" t="s">
        <v>339</v>
      </c>
      <c r="D127" s="2" t="s">
        <v>64</v>
      </c>
      <c r="E127" s="2" t="s">
        <v>747</v>
      </c>
      <c r="F127" s="4">
        <v>25</v>
      </c>
      <c r="G127" s="4">
        <v>7</v>
      </c>
      <c r="H127" s="4">
        <v>1987</v>
      </c>
      <c r="I127" s="2" t="s">
        <v>746</v>
      </c>
      <c r="J127" s="3" t="s">
        <v>26</v>
      </c>
      <c r="K127" s="2">
        <v>0</v>
      </c>
      <c r="L127" s="2">
        <v>0</v>
      </c>
      <c r="M127" s="2">
        <v>12</v>
      </c>
      <c r="N127" s="2"/>
      <c r="O127" s="1">
        <f>(K127/(K127+ L127 +M127))</f>
        <v>0</v>
      </c>
      <c r="P127" s="1">
        <f>(L127/(K127+ L127 +M127))</f>
        <v>0</v>
      </c>
      <c r="Q127" s="1">
        <f>(M127/(K127+ L127 +M127))</f>
        <v>1</v>
      </c>
    </row>
    <row r="128" spans="1:17" ht="16" x14ac:dyDescent="0.2">
      <c r="A128" s="4">
        <v>74191</v>
      </c>
      <c r="B128" s="2" t="s">
        <v>745</v>
      </c>
      <c r="C128" s="2" t="s">
        <v>339</v>
      </c>
      <c r="D128" s="2" t="s">
        <v>64</v>
      </c>
      <c r="E128" s="2" t="s">
        <v>744</v>
      </c>
      <c r="F128" s="4">
        <v>25</v>
      </c>
      <c r="G128" s="4">
        <v>7</v>
      </c>
      <c r="H128" s="4">
        <v>1987</v>
      </c>
      <c r="I128" s="2" t="s">
        <v>743</v>
      </c>
      <c r="J128" s="3" t="s">
        <v>26</v>
      </c>
      <c r="K128" s="2">
        <v>0</v>
      </c>
      <c r="L128" s="2">
        <v>0</v>
      </c>
      <c r="M128" s="2">
        <v>1</v>
      </c>
      <c r="N128" s="2"/>
      <c r="O128" s="1">
        <f>(K128/(K128+ L128 +M128))</f>
        <v>0</v>
      </c>
      <c r="P128" s="1">
        <f>(L128/(K128+ L128 +M128))</f>
        <v>0</v>
      </c>
      <c r="Q128" s="1">
        <f>(M128/(K128+ L128 +M128))</f>
        <v>1</v>
      </c>
    </row>
    <row r="129" spans="1:17" ht="16" x14ac:dyDescent="0.2">
      <c r="A129" s="4">
        <v>74758</v>
      </c>
      <c r="B129" s="2" t="s">
        <v>742</v>
      </c>
      <c r="C129" s="2" t="s">
        <v>339</v>
      </c>
      <c r="D129" s="2" t="s">
        <v>64</v>
      </c>
      <c r="E129" s="2" t="s">
        <v>741</v>
      </c>
      <c r="F129" s="4">
        <v>25</v>
      </c>
      <c r="G129" s="4">
        <v>7</v>
      </c>
      <c r="H129" s="4">
        <v>1987</v>
      </c>
      <c r="I129" s="2" t="s">
        <v>740</v>
      </c>
      <c r="J129" s="3" t="s">
        <v>26</v>
      </c>
      <c r="K129" s="2">
        <v>0</v>
      </c>
      <c r="L129" s="2">
        <v>0</v>
      </c>
      <c r="M129" s="2">
        <v>3</v>
      </c>
      <c r="N129" s="2"/>
      <c r="O129" s="1">
        <f>(K129/(K129+ L129 +M129))</f>
        <v>0</v>
      </c>
      <c r="P129" s="1">
        <f>(L129/(K129+ L129 +M129))</f>
        <v>0</v>
      </c>
      <c r="Q129" s="1">
        <f>(M129/(K129+ L129 +M129))</f>
        <v>1</v>
      </c>
    </row>
    <row r="130" spans="1:17" ht="16" x14ac:dyDescent="0.2">
      <c r="A130" s="4">
        <v>96574</v>
      </c>
      <c r="B130" s="2" t="s">
        <v>739</v>
      </c>
      <c r="C130" s="2" t="s">
        <v>339</v>
      </c>
      <c r="D130" s="2" t="s">
        <v>227</v>
      </c>
      <c r="E130" s="2" t="s">
        <v>738</v>
      </c>
      <c r="F130" s="4">
        <v>2</v>
      </c>
      <c r="G130" s="4">
        <v>10</v>
      </c>
      <c r="H130" s="4">
        <v>1990</v>
      </c>
      <c r="I130" s="2" t="s">
        <v>737</v>
      </c>
      <c r="J130" s="3" t="s">
        <v>26</v>
      </c>
      <c r="K130" s="2">
        <v>0</v>
      </c>
      <c r="L130" s="2">
        <v>0</v>
      </c>
      <c r="M130" s="2">
        <v>3</v>
      </c>
      <c r="N130" s="2"/>
      <c r="O130" s="1">
        <f>(K130/(K130+ L130 +M130))</f>
        <v>0</v>
      </c>
      <c r="P130" s="1">
        <f>(L130/(K130+ L130 +M130))</f>
        <v>0</v>
      </c>
      <c r="Q130" s="1">
        <f>(M130/(K130+ L130 +M130))</f>
        <v>1</v>
      </c>
    </row>
    <row r="131" spans="1:17" ht="16" x14ac:dyDescent="0.2">
      <c r="A131" s="4">
        <v>96871</v>
      </c>
      <c r="B131" s="2" t="s">
        <v>736</v>
      </c>
      <c r="C131" s="2" t="s">
        <v>339</v>
      </c>
      <c r="D131" s="2" t="s">
        <v>418</v>
      </c>
      <c r="E131" s="2" t="s">
        <v>735</v>
      </c>
      <c r="F131" s="4">
        <v>17</v>
      </c>
      <c r="G131" s="4">
        <v>10</v>
      </c>
      <c r="H131" s="4">
        <v>1990</v>
      </c>
      <c r="I131" s="2" t="s">
        <v>734</v>
      </c>
      <c r="J131" s="3" t="s">
        <v>26</v>
      </c>
      <c r="K131" s="2">
        <v>0</v>
      </c>
      <c r="L131" s="2">
        <v>0</v>
      </c>
      <c r="M131" s="2">
        <v>2</v>
      </c>
      <c r="N131" s="2"/>
      <c r="O131" s="1">
        <f>(K131/(K131+ L131 +M131))</f>
        <v>0</v>
      </c>
      <c r="P131" s="1">
        <f>(L131/(K131+ L131 +M131))</f>
        <v>0</v>
      </c>
      <c r="Q131" s="1">
        <f>(M131/(K131+ L131 +M131))</f>
        <v>1</v>
      </c>
    </row>
    <row r="132" spans="1:17" ht="16" x14ac:dyDescent="0.2">
      <c r="A132" s="4">
        <v>74759</v>
      </c>
      <c r="B132" s="2" t="s">
        <v>733</v>
      </c>
      <c r="C132" s="2" t="s">
        <v>339</v>
      </c>
      <c r="D132" s="2" t="s">
        <v>64</v>
      </c>
      <c r="E132" s="2" t="s">
        <v>732</v>
      </c>
      <c r="F132" s="4">
        <v>25</v>
      </c>
      <c r="G132" s="4">
        <v>7</v>
      </c>
      <c r="H132" s="4">
        <v>1987</v>
      </c>
      <c r="I132" s="2" t="s">
        <v>731</v>
      </c>
      <c r="J132" s="3" t="s">
        <v>26</v>
      </c>
      <c r="K132" s="2">
        <v>0</v>
      </c>
      <c r="L132" s="2">
        <v>0</v>
      </c>
      <c r="M132" s="2">
        <v>6</v>
      </c>
      <c r="N132" s="2"/>
      <c r="O132" s="1">
        <f>(K132/(K132+ L132 +M132))</f>
        <v>0</v>
      </c>
      <c r="P132" s="1">
        <f>(L132/(K132+ L132 +M132))</f>
        <v>0</v>
      </c>
      <c r="Q132" s="1">
        <f>(M132/(K132+ L132 +M132))</f>
        <v>1</v>
      </c>
    </row>
    <row r="133" spans="1:17" ht="16" x14ac:dyDescent="0.2">
      <c r="A133" s="4">
        <v>73926</v>
      </c>
      <c r="B133" s="2" t="s">
        <v>730</v>
      </c>
      <c r="C133" s="2" t="s">
        <v>339</v>
      </c>
      <c r="D133" s="2" t="s">
        <v>64</v>
      </c>
      <c r="E133" s="2" t="s">
        <v>729</v>
      </c>
      <c r="F133" s="4">
        <v>25</v>
      </c>
      <c r="G133" s="4">
        <v>7</v>
      </c>
      <c r="H133" s="4">
        <v>1987</v>
      </c>
      <c r="I133" s="2" t="s">
        <v>728</v>
      </c>
      <c r="J133" s="3" t="s">
        <v>26</v>
      </c>
      <c r="K133" s="2">
        <v>0</v>
      </c>
      <c r="L133" s="2">
        <v>0</v>
      </c>
      <c r="M133" s="2">
        <v>9</v>
      </c>
      <c r="N133" s="2"/>
      <c r="O133" s="1">
        <f>(K133/(K133+ L133 +M133))</f>
        <v>0</v>
      </c>
      <c r="P133" s="1">
        <f>(L133/(K133+ L133 +M133))</f>
        <v>0</v>
      </c>
      <c r="Q133" s="1">
        <f>(M133/(K133+ L133 +M133))</f>
        <v>1</v>
      </c>
    </row>
    <row r="134" spans="1:17" ht="16" x14ac:dyDescent="0.2">
      <c r="A134" s="4">
        <v>120632</v>
      </c>
      <c r="B134" s="2" t="s">
        <v>727</v>
      </c>
      <c r="C134" s="2" t="s">
        <v>180</v>
      </c>
      <c r="D134" s="2" t="s">
        <v>73</v>
      </c>
      <c r="E134" s="2" t="s">
        <v>726</v>
      </c>
      <c r="F134" s="4">
        <v>16</v>
      </c>
      <c r="G134" s="4">
        <v>8</v>
      </c>
      <c r="H134" s="4">
        <v>1994</v>
      </c>
      <c r="I134" s="2" t="s">
        <v>725</v>
      </c>
      <c r="J134" s="3" t="s">
        <v>26</v>
      </c>
      <c r="K134" s="2">
        <v>0</v>
      </c>
      <c r="L134" s="2">
        <v>0</v>
      </c>
      <c r="M134" s="2">
        <v>13</v>
      </c>
      <c r="N134" s="2"/>
      <c r="O134" s="1">
        <f>(K134/(K134+ L134 +M134))</f>
        <v>0</v>
      </c>
      <c r="P134" s="1">
        <f>(L134/(K134+ L134 +M134))</f>
        <v>0</v>
      </c>
      <c r="Q134" s="1">
        <f>(M134/(K134+ L134 +M134))</f>
        <v>1</v>
      </c>
    </row>
    <row r="135" spans="1:17" ht="16" x14ac:dyDescent="0.2">
      <c r="A135" s="4">
        <v>93284</v>
      </c>
      <c r="B135" s="2" t="s">
        <v>724</v>
      </c>
      <c r="C135" s="2" t="s">
        <v>180</v>
      </c>
      <c r="D135" s="2" t="s">
        <v>73</v>
      </c>
      <c r="E135" s="2" t="s">
        <v>723</v>
      </c>
      <c r="F135" s="4">
        <v>17</v>
      </c>
      <c r="G135" s="4">
        <v>7</v>
      </c>
      <c r="H135" s="4">
        <v>1990</v>
      </c>
      <c r="I135" s="2" t="s">
        <v>722</v>
      </c>
      <c r="J135" s="3" t="s">
        <v>26</v>
      </c>
      <c r="K135" s="2">
        <v>0</v>
      </c>
      <c r="L135" s="2">
        <v>0</v>
      </c>
      <c r="M135" s="2">
        <v>20</v>
      </c>
      <c r="N135" s="2"/>
      <c r="O135" s="1">
        <f>(K135/(K135+ L135 +M135))</f>
        <v>0</v>
      </c>
      <c r="P135" s="1">
        <f>(L135/(K135+ L135 +M135))</f>
        <v>0</v>
      </c>
      <c r="Q135" s="1">
        <f>(M135/(K135+ L135 +M135))</f>
        <v>1</v>
      </c>
    </row>
    <row r="136" spans="1:17" ht="16" x14ac:dyDescent="0.2">
      <c r="A136" s="4">
        <v>72440</v>
      </c>
      <c r="B136" s="2" t="s">
        <v>721</v>
      </c>
      <c r="C136" s="2" t="s">
        <v>180</v>
      </c>
      <c r="D136" s="2" t="s">
        <v>64</v>
      </c>
      <c r="E136" s="2" t="s">
        <v>720</v>
      </c>
      <c r="F136" s="4">
        <v>16</v>
      </c>
      <c r="G136" s="4">
        <v>6</v>
      </c>
      <c r="H136" s="4">
        <v>1987</v>
      </c>
      <c r="I136" s="2" t="s">
        <v>719</v>
      </c>
      <c r="J136" s="3" t="s">
        <v>26</v>
      </c>
      <c r="K136" s="2">
        <v>0</v>
      </c>
      <c r="L136" s="2">
        <v>0</v>
      </c>
      <c r="M136" s="2">
        <v>21</v>
      </c>
      <c r="N136" s="2"/>
      <c r="O136" s="1">
        <f>(K136/(K136+ L136 +M136))</f>
        <v>0</v>
      </c>
      <c r="P136" s="1">
        <f>(L136/(K136+ L136 +M136))</f>
        <v>0</v>
      </c>
      <c r="Q136" s="1">
        <f>(M136/(K136+ L136 +M136))</f>
        <v>1</v>
      </c>
    </row>
    <row r="137" spans="1:17" ht="16" x14ac:dyDescent="0.2">
      <c r="A137" s="4">
        <v>145616</v>
      </c>
      <c r="B137" s="2" t="s">
        <v>718</v>
      </c>
      <c r="C137" s="2" t="s">
        <v>717</v>
      </c>
      <c r="D137" s="2" t="s">
        <v>680</v>
      </c>
      <c r="E137" s="2" t="s">
        <v>716</v>
      </c>
      <c r="F137" s="4">
        <v>11</v>
      </c>
      <c r="G137" s="4">
        <v>7</v>
      </c>
      <c r="H137" s="4">
        <v>1999</v>
      </c>
      <c r="I137" s="2" t="s">
        <v>715</v>
      </c>
      <c r="J137" s="3" t="s">
        <v>26</v>
      </c>
      <c r="K137" s="6">
        <v>179</v>
      </c>
      <c r="L137" s="6">
        <v>30</v>
      </c>
      <c r="M137" s="6">
        <v>0</v>
      </c>
      <c r="O137" s="1">
        <f>(K137/(K137+ L137 +M137))</f>
        <v>0.8564593301435407</v>
      </c>
      <c r="P137" s="1">
        <f>(L137/(K137+ L137 +M137))</f>
        <v>0.14354066985645933</v>
      </c>
      <c r="Q137" s="1">
        <f>(M137/(K137+ L137 +M137))</f>
        <v>0</v>
      </c>
    </row>
    <row r="138" spans="1:17" ht="16" x14ac:dyDescent="0.2">
      <c r="A138" s="4">
        <v>74185</v>
      </c>
      <c r="B138" s="2" t="s">
        <v>714</v>
      </c>
      <c r="C138" s="2" t="s">
        <v>704</v>
      </c>
      <c r="D138" s="2" t="s">
        <v>64</v>
      </c>
      <c r="E138" s="2" t="s">
        <v>713</v>
      </c>
      <c r="F138" s="4">
        <v>7</v>
      </c>
      <c r="G138" s="4">
        <v>7</v>
      </c>
      <c r="H138" s="4">
        <v>1987</v>
      </c>
      <c r="I138" s="2" t="s">
        <v>712</v>
      </c>
      <c r="J138" s="3" t="s">
        <v>26</v>
      </c>
      <c r="K138" s="6">
        <v>79</v>
      </c>
      <c r="L138" s="6">
        <v>41</v>
      </c>
      <c r="M138" s="6">
        <v>2</v>
      </c>
      <c r="O138" s="1">
        <f>(K138/(K138+ L138 +M138))</f>
        <v>0.64754098360655743</v>
      </c>
      <c r="P138" s="1">
        <f>(L138/(K138+ L138 +M138))</f>
        <v>0.33606557377049179</v>
      </c>
      <c r="Q138" s="1">
        <f>(M138/(K138+ L138 +M138))</f>
        <v>1.6393442622950821E-2</v>
      </c>
    </row>
    <row r="139" spans="1:17" ht="16" x14ac:dyDescent="0.2">
      <c r="A139" s="4">
        <v>120600</v>
      </c>
      <c r="B139" s="2" t="s">
        <v>711</v>
      </c>
      <c r="C139" s="2" t="s">
        <v>704</v>
      </c>
      <c r="D139" s="2" t="s">
        <v>73</v>
      </c>
      <c r="E139" s="2" t="s">
        <v>710</v>
      </c>
      <c r="F139" s="4">
        <v>16</v>
      </c>
      <c r="G139" s="4">
        <v>8</v>
      </c>
      <c r="H139" s="4">
        <v>1994</v>
      </c>
      <c r="I139" s="2" t="s">
        <v>709</v>
      </c>
      <c r="J139" s="3" t="s">
        <v>26</v>
      </c>
      <c r="K139" s="6">
        <v>0</v>
      </c>
      <c r="L139" s="6">
        <v>0</v>
      </c>
      <c r="M139" s="6">
        <v>37</v>
      </c>
      <c r="O139" s="1">
        <f>(K139/(K139+ L139 +M139))</f>
        <v>0</v>
      </c>
      <c r="P139" s="1">
        <f>(L139/(K139+ L139 +M139))</f>
        <v>0</v>
      </c>
      <c r="Q139" s="1">
        <f>(M139/(K139+ L139 +M139))</f>
        <v>1</v>
      </c>
    </row>
    <row r="140" spans="1:17" ht="16" x14ac:dyDescent="0.2">
      <c r="A140" s="4">
        <v>122246</v>
      </c>
      <c r="B140" s="2" t="s">
        <v>708</v>
      </c>
      <c r="C140" s="2" t="s">
        <v>704</v>
      </c>
      <c r="D140" s="2" t="s">
        <v>14</v>
      </c>
      <c r="E140" s="2" t="s">
        <v>707</v>
      </c>
      <c r="F140" s="4">
        <v>30</v>
      </c>
      <c r="G140" s="4">
        <v>8</v>
      </c>
      <c r="H140" s="4">
        <v>1994</v>
      </c>
      <c r="I140" s="2" t="s">
        <v>706</v>
      </c>
      <c r="J140" s="3" t="s">
        <v>26</v>
      </c>
      <c r="K140" s="6">
        <v>0</v>
      </c>
      <c r="L140" s="6">
        <v>0</v>
      </c>
      <c r="M140" s="6">
        <v>32</v>
      </c>
      <c r="O140" s="1">
        <f>(K140/(K140+ L140 +M140))</f>
        <v>0</v>
      </c>
      <c r="P140" s="1">
        <f>(L140/(K140+ L140 +M140))</f>
        <v>0</v>
      </c>
      <c r="Q140" s="1">
        <f>(M140/(K140+ L140 +M140))</f>
        <v>1</v>
      </c>
    </row>
    <row r="141" spans="1:17" ht="16" x14ac:dyDescent="0.2">
      <c r="A141" s="4">
        <v>34701</v>
      </c>
      <c r="B141" s="2" t="s">
        <v>705</v>
      </c>
      <c r="C141" s="2" t="s">
        <v>704</v>
      </c>
      <c r="D141" s="2" t="s">
        <v>14</v>
      </c>
      <c r="E141" s="4">
        <v>4442</v>
      </c>
      <c r="F141" s="4">
        <v>6</v>
      </c>
      <c r="G141" s="4">
        <v>10</v>
      </c>
      <c r="H141" s="4">
        <v>1978</v>
      </c>
      <c r="I141" s="2" t="s">
        <v>703</v>
      </c>
      <c r="J141" s="3" t="s">
        <v>26</v>
      </c>
      <c r="K141" s="6">
        <v>0</v>
      </c>
      <c r="L141" s="6">
        <v>0</v>
      </c>
      <c r="M141" s="6">
        <v>24</v>
      </c>
      <c r="O141" s="1">
        <f>(K141/(K141+ L141 +M141))</f>
        <v>0</v>
      </c>
      <c r="P141" s="1">
        <f>(L141/(K141+ L141 +M141))</f>
        <v>0</v>
      </c>
      <c r="Q141" s="1">
        <f>(M141/(K141+ L141 +M141))</f>
        <v>1</v>
      </c>
    </row>
    <row r="142" spans="1:17" ht="16" x14ac:dyDescent="0.2">
      <c r="A142" s="4">
        <v>36825</v>
      </c>
      <c r="B142" s="2" t="s">
        <v>702</v>
      </c>
      <c r="C142" s="2" t="s">
        <v>129</v>
      </c>
      <c r="D142" s="2" t="s">
        <v>14</v>
      </c>
      <c r="E142" s="4">
        <v>4406</v>
      </c>
      <c r="F142" s="4">
        <v>26</v>
      </c>
      <c r="G142" s="4">
        <v>7</v>
      </c>
      <c r="H142" s="4">
        <v>1978</v>
      </c>
      <c r="I142" s="2" t="s">
        <v>701</v>
      </c>
      <c r="J142" s="3" t="s">
        <v>26</v>
      </c>
      <c r="K142" s="6">
        <v>3</v>
      </c>
      <c r="L142" s="6">
        <v>42</v>
      </c>
      <c r="M142" s="6">
        <v>154</v>
      </c>
      <c r="O142" s="1">
        <f>(K142/(K142+ L142 +M142))</f>
        <v>1.507537688442211E-2</v>
      </c>
      <c r="P142" s="1">
        <f>(L142/(K142+ L142 +M142))</f>
        <v>0.21105527638190955</v>
      </c>
      <c r="Q142" s="1">
        <f>(M142/(K142+ L142 +M142))</f>
        <v>0.77386934673366836</v>
      </c>
    </row>
    <row r="143" spans="1:17" ht="16" x14ac:dyDescent="0.2">
      <c r="A143" s="4">
        <v>36826</v>
      </c>
      <c r="B143" s="2" t="s">
        <v>700</v>
      </c>
      <c r="C143" s="2" t="s">
        <v>129</v>
      </c>
      <c r="D143" s="2" t="s">
        <v>14</v>
      </c>
      <c r="E143" s="4">
        <v>4405</v>
      </c>
      <c r="F143" s="4">
        <v>25</v>
      </c>
      <c r="G143" s="4">
        <v>7</v>
      </c>
      <c r="H143" s="4">
        <v>1978</v>
      </c>
      <c r="I143" s="2" t="s">
        <v>699</v>
      </c>
      <c r="J143" s="3" t="s">
        <v>26</v>
      </c>
      <c r="K143" s="6">
        <v>25</v>
      </c>
      <c r="L143" s="6">
        <v>70</v>
      </c>
      <c r="M143" s="6">
        <v>79</v>
      </c>
      <c r="O143" s="1">
        <f>(K143/(K143+ L143 +M143))</f>
        <v>0.14367816091954022</v>
      </c>
      <c r="P143" s="1">
        <f>(L143/(K143+ L143 +M143))</f>
        <v>0.40229885057471265</v>
      </c>
      <c r="Q143" s="1">
        <f>(M143/(K143+ L143 +M143))</f>
        <v>0.45402298850574713</v>
      </c>
    </row>
    <row r="144" spans="1:17" ht="16" x14ac:dyDescent="0.2">
      <c r="A144" s="4">
        <v>36828</v>
      </c>
      <c r="B144" s="2" t="s">
        <v>698</v>
      </c>
      <c r="C144" s="2" t="s">
        <v>129</v>
      </c>
      <c r="D144" s="2" t="s">
        <v>14</v>
      </c>
      <c r="E144" s="4">
        <v>4763</v>
      </c>
      <c r="F144" s="4">
        <v>10</v>
      </c>
      <c r="G144" s="4">
        <v>7</v>
      </c>
      <c r="H144" s="4">
        <v>1979</v>
      </c>
      <c r="I144" s="2" t="s">
        <v>697</v>
      </c>
      <c r="J144" s="3" t="s">
        <v>26</v>
      </c>
      <c r="K144" s="6">
        <v>0</v>
      </c>
      <c r="L144" s="6">
        <v>3</v>
      </c>
      <c r="M144" s="6">
        <v>3</v>
      </c>
      <c r="O144" s="1">
        <f>(K144/(K144+ L144 +M144))</f>
        <v>0</v>
      </c>
      <c r="P144" s="1">
        <f>(L144/(K144+ L144 +M144))</f>
        <v>0.5</v>
      </c>
      <c r="Q144" s="1">
        <f>(M144/(K144+ L144 +M144))</f>
        <v>0.5</v>
      </c>
    </row>
    <row r="145" spans="1:17" ht="16" x14ac:dyDescent="0.2">
      <c r="A145" s="4">
        <v>152468</v>
      </c>
      <c r="B145" s="2" t="s">
        <v>696</v>
      </c>
      <c r="C145" s="2" t="s">
        <v>129</v>
      </c>
      <c r="D145" s="2" t="s">
        <v>73</v>
      </c>
      <c r="E145" s="2" t="s">
        <v>695</v>
      </c>
      <c r="F145" s="4">
        <v>10</v>
      </c>
      <c r="G145" s="4">
        <v>7</v>
      </c>
      <c r="H145" s="4">
        <v>2001</v>
      </c>
      <c r="I145" s="2" t="s">
        <v>694</v>
      </c>
      <c r="J145" s="3" t="s">
        <v>26</v>
      </c>
      <c r="K145" s="6">
        <v>0</v>
      </c>
      <c r="L145" s="6">
        <v>0</v>
      </c>
      <c r="M145" s="6">
        <v>49</v>
      </c>
      <c r="O145" s="1">
        <f>(K145/(K145+ L145 +M145))</f>
        <v>0</v>
      </c>
      <c r="P145" s="1">
        <f>(L145/(K145+ L145 +M145))</f>
        <v>0</v>
      </c>
      <c r="Q145" s="1">
        <f>(M145/(K145+ L145 +M145))</f>
        <v>1</v>
      </c>
    </row>
    <row r="146" spans="1:17" ht="16" x14ac:dyDescent="0.2">
      <c r="A146" s="4">
        <v>121715</v>
      </c>
      <c r="B146" s="2" t="s">
        <v>693</v>
      </c>
      <c r="C146" s="2" t="s">
        <v>129</v>
      </c>
      <c r="D146" s="2" t="s">
        <v>59</v>
      </c>
      <c r="E146" s="2" t="s">
        <v>692</v>
      </c>
      <c r="F146" s="4">
        <v>20</v>
      </c>
      <c r="G146" s="4">
        <v>10</v>
      </c>
      <c r="H146" s="4">
        <v>1994</v>
      </c>
      <c r="I146" s="2" t="s">
        <v>691</v>
      </c>
      <c r="J146" s="3" t="s">
        <v>26</v>
      </c>
      <c r="K146" s="6">
        <v>0</v>
      </c>
      <c r="L146" s="6">
        <v>0</v>
      </c>
      <c r="M146" s="6">
        <v>28</v>
      </c>
      <c r="O146" s="1">
        <f>(K146/(K146+ L146 +M146))</f>
        <v>0</v>
      </c>
      <c r="P146" s="1">
        <f>(L146/(K146+ L146 +M146))</f>
        <v>0</v>
      </c>
      <c r="Q146" s="1">
        <f>(M146/(K146+ L146 +M146))</f>
        <v>1</v>
      </c>
    </row>
    <row r="147" spans="1:17" ht="16" x14ac:dyDescent="0.2">
      <c r="A147" s="4">
        <v>74186</v>
      </c>
      <c r="B147" s="2" t="s">
        <v>690</v>
      </c>
      <c r="C147" s="2" t="s">
        <v>129</v>
      </c>
      <c r="D147" s="2" t="s">
        <v>64</v>
      </c>
      <c r="E147" s="2" t="s">
        <v>689</v>
      </c>
      <c r="F147" s="4">
        <v>7</v>
      </c>
      <c r="G147" s="4">
        <v>7</v>
      </c>
      <c r="H147" s="4">
        <v>1987</v>
      </c>
      <c r="I147" s="2" t="s">
        <v>688</v>
      </c>
      <c r="J147" s="3" t="s">
        <v>26</v>
      </c>
      <c r="K147" s="6">
        <v>25</v>
      </c>
      <c r="L147" s="6">
        <v>26</v>
      </c>
      <c r="M147" s="6">
        <v>2</v>
      </c>
      <c r="O147" s="1">
        <f>(K147/(K147+ L147 +M147))</f>
        <v>0.47169811320754718</v>
      </c>
      <c r="P147" s="1">
        <f>(L147/(K147+ L147 +M147))</f>
        <v>0.49056603773584906</v>
      </c>
      <c r="Q147" s="1">
        <f>(M147/(K147+ L147 +M147))</f>
        <v>3.7735849056603772E-2</v>
      </c>
    </row>
    <row r="148" spans="1:17" ht="16" x14ac:dyDescent="0.2">
      <c r="A148" s="4">
        <v>177300</v>
      </c>
      <c r="B148" s="2" t="s">
        <v>687</v>
      </c>
      <c r="C148" s="2" t="s">
        <v>129</v>
      </c>
      <c r="D148" s="2" t="s">
        <v>23</v>
      </c>
      <c r="E148" s="2" t="s">
        <v>686</v>
      </c>
      <c r="F148" s="4">
        <v>6</v>
      </c>
      <c r="G148" s="4">
        <v>8</v>
      </c>
      <c r="H148" s="4">
        <v>2013</v>
      </c>
      <c r="I148" s="2" t="s">
        <v>685</v>
      </c>
      <c r="J148" s="3" t="s">
        <v>26</v>
      </c>
      <c r="K148" s="6">
        <v>0</v>
      </c>
      <c r="L148" s="6">
        <v>0</v>
      </c>
      <c r="M148" s="6">
        <v>15</v>
      </c>
      <c r="O148" s="1">
        <f>(K148/(K148+ L148 +M148))</f>
        <v>0</v>
      </c>
      <c r="P148" s="1">
        <f>(L148/(K148+ L148 +M148))</f>
        <v>0</v>
      </c>
      <c r="Q148" s="1">
        <f>(M148/(K148+ L148 +M148))</f>
        <v>1</v>
      </c>
    </row>
    <row r="149" spans="1:17" ht="16" x14ac:dyDescent="0.2">
      <c r="A149" s="4">
        <v>120630</v>
      </c>
      <c r="B149" s="2" t="s">
        <v>684</v>
      </c>
      <c r="C149" s="2" t="s">
        <v>129</v>
      </c>
      <c r="D149" s="2" t="s">
        <v>73</v>
      </c>
      <c r="E149" s="2" t="s">
        <v>683</v>
      </c>
      <c r="F149" s="4">
        <v>16</v>
      </c>
      <c r="G149" s="4">
        <v>8</v>
      </c>
      <c r="H149" s="4">
        <v>1994</v>
      </c>
      <c r="I149" s="2" t="s">
        <v>682</v>
      </c>
      <c r="J149" s="3" t="s">
        <v>26</v>
      </c>
      <c r="K149" s="6">
        <v>0</v>
      </c>
      <c r="L149" s="6">
        <v>0</v>
      </c>
      <c r="M149" s="6">
        <v>52</v>
      </c>
      <c r="O149" s="1">
        <f>(K149/(K149+ L149 +M149))</f>
        <v>0</v>
      </c>
      <c r="P149" s="1">
        <f>(L149/(K149+ L149 +M149))</f>
        <v>0</v>
      </c>
      <c r="Q149" s="1">
        <f>(M149/(K149+ L149 +M149))</f>
        <v>1</v>
      </c>
    </row>
    <row r="150" spans="1:17" ht="16" x14ac:dyDescent="0.2">
      <c r="A150" s="4">
        <v>143944</v>
      </c>
      <c r="B150" s="2" t="s">
        <v>681</v>
      </c>
      <c r="C150" s="2" t="s">
        <v>129</v>
      </c>
      <c r="D150" s="2" t="s">
        <v>680</v>
      </c>
      <c r="E150" s="2" t="s">
        <v>679</v>
      </c>
      <c r="F150" s="4">
        <v>11</v>
      </c>
      <c r="G150" s="4">
        <v>7</v>
      </c>
      <c r="H150" s="4">
        <v>1999</v>
      </c>
      <c r="I150" s="2" t="s">
        <v>675</v>
      </c>
      <c r="J150" s="3" t="s">
        <v>26</v>
      </c>
      <c r="K150" s="6">
        <v>2</v>
      </c>
      <c r="L150" s="6">
        <v>17</v>
      </c>
      <c r="M150" s="6">
        <v>4</v>
      </c>
      <c r="O150" s="1">
        <f>(K150/(K150+ L150 +M150))</f>
        <v>8.6956521739130432E-2</v>
      </c>
      <c r="P150" s="1">
        <f>(L150/(K150+ L150 +M150))</f>
        <v>0.73913043478260865</v>
      </c>
      <c r="Q150" s="1">
        <f>(M150/(K150+ L150 +M150))</f>
        <v>0.17391304347826086</v>
      </c>
    </row>
    <row r="151" spans="1:17" ht="16" x14ac:dyDescent="0.2">
      <c r="A151" s="4">
        <v>121695</v>
      </c>
      <c r="B151" s="2" t="s">
        <v>678</v>
      </c>
      <c r="C151" s="2" t="s">
        <v>129</v>
      </c>
      <c r="D151" s="2" t="s">
        <v>677</v>
      </c>
      <c r="E151" s="2" t="s">
        <v>676</v>
      </c>
      <c r="F151" s="4">
        <v>19</v>
      </c>
      <c r="G151" s="4">
        <v>10</v>
      </c>
      <c r="H151" s="4">
        <v>1994</v>
      </c>
      <c r="I151" s="2" t="s">
        <v>675</v>
      </c>
      <c r="J151" s="3" t="s">
        <v>26</v>
      </c>
      <c r="K151" s="6">
        <v>0</v>
      </c>
      <c r="L151" s="6">
        <v>0</v>
      </c>
      <c r="M151" s="6">
        <v>21</v>
      </c>
      <c r="O151" s="1">
        <f>(K151/(K151+ L151 +M151))</f>
        <v>0</v>
      </c>
      <c r="P151" s="1">
        <f>(L151/(K151+ L151 +M151))</f>
        <v>0</v>
      </c>
      <c r="Q151" s="1">
        <f>(M151/(K151+ L151 +M151))</f>
        <v>1</v>
      </c>
    </row>
    <row r="152" spans="1:17" ht="16" x14ac:dyDescent="0.2">
      <c r="A152" s="4">
        <v>93283</v>
      </c>
      <c r="B152" s="2" t="s">
        <v>674</v>
      </c>
      <c r="C152" s="2" t="s">
        <v>129</v>
      </c>
      <c r="D152" s="2" t="s">
        <v>73</v>
      </c>
      <c r="E152" s="2" t="s">
        <v>673</v>
      </c>
      <c r="F152" s="4">
        <v>17</v>
      </c>
      <c r="G152" s="4">
        <v>7</v>
      </c>
      <c r="H152" s="4">
        <v>1990</v>
      </c>
      <c r="I152" s="2" t="s">
        <v>672</v>
      </c>
      <c r="J152" s="3" t="s">
        <v>26</v>
      </c>
      <c r="K152" s="6">
        <v>113</v>
      </c>
      <c r="L152" s="6">
        <v>148</v>
      </c>
      <c r="M152" s="6">
        <v>18</v>
      </c>
      <c r="O152" s="1">
        <f>(K152/(K152+ L152 +M152))</f>
        <v>0.4050179211469534</v>
      </c>
      <c r="P152" s="1">
        <f>(L152/(K152+ L152 +M152))</f>
        <v>0.53046594982078854</v>
      </c>
      <c r="Q152" s="1">
        <f>(M152/(K152+ L152 +M152))</f>
        <v>6.4516129032258063E-2</v>
      </c>
    </row>
    <row r="153" spans="1:17" ht="16" x14ac:dyDescent="0.2">
      <c r="A153" s="4">
        <v>36811</v>
      </c>
      <c r="B153" s="2" t="s">
        <v>671</v>
      </c>
      <c r="C153" s="2" t="s">
        <v>129</v>
      </c>
      <c r="D153" s="2" t="s">
        <v>14</v>
      </c>
      <c r="E153" s="4">
        <v>4762</v>
      </c>
      <c r="F153" s="4">
        <v>10</v>
      </c>
      <c r="G153" s="4">
        <v>7</v>
      </c>
      <c r="H153" s="4">
        <v>1979</v>
      </c>
      <c r="I153" s="2" t="s">
        <v>670</v>
      </c>
      <c r="J153" s="3" t="s">
        <v>26</v>
      </c>
      <c r="K153" s="6">
        <v>0</v>
      </c>
      <c r="L153" s="6">
        <v>11</v>
      </c>
      <c r="M153" s="6">
        <v>38</v>
      </c>
      <c r="O153" s="1">
        <f>(K153/(K153+ L153 +M153))</f>
        <v>0</v>
      </c>
      <c r="P153" s="1">
        <f>(L153/(K153+ L153 +M153))</f>
        <v>0.22448979591836735</v>
      </c>
      <c r="Q153" s="1">
        <f>(M153/(K153+ L153 +M153))</f>
        <v>0.77551020408163263</v>
      </c>
    </row>
    <row r="154" spans="1:17" ht="16" x14ac:dyDescent="0.2">
      <c r="A154" s="4">
        <v>179440</v>
      </c>
      <c r="B154" s="2" t="s">
        <v>669</v>
      </c>
      <c r="C154" s="2" t="s">
        <v>129</v>
      </c>
      <c r="D154" s="2" t="s">
        <v>668</v>
      </c>
      <c r="E154" s="2" t="s">
        <v>667</v>
      </c>
      <c r="F154" s="4">
        <v>16</v>
      </c>
      <c r="G154" s="4">
        <v>7</v>
      </c>
      <c r="H154" s="4">
        <v>2014</v>
      </c>
      <c r="I154" s="2" t="s">
        <v>666</v>
      </c>
      <c r="J154" s="3" t="s">
        <v>26</v>
      </c>
      <c r="K154" s="6">
        <v>9</v>
      </c>
      <c r="L154" s="6">
        <v>19</v>
      </c>
      <c r="M154" s="6">
        <v>13</v>
      </c>
      <c r="O154" s="1">
        <f>(K154/(K154+ L154 +M154))</f>
        <v>0.21951219512195122</v>
      </c>
      <c r="P154" s="1">
        <f>(L154/(K154+ L154 +M154))</f>
        <v>0.46341463414634149</v>
      </c>
      <c r="Q154" s="1">
        <f>(M154/(K154+ L154 +M154))</f>
        <v>0.31707317073170732</v>
      </c>
    </row>
    <row r="155" spans="1:17" ht="16" x14ac:dyDescent="0.2">
      <c r="A155" s="4">
        <v>121691</v>
      </c>
      <c r="B155" s="2" t="s">
        <v>665</v>
      </c>
      <c r="C155" s="2" t="s">
        <v>129</v>
      </c>
      <c r="D155" s="2" t="s">
        <v>59</v>
      </c>
      <c r="E155" s="2" t="s">
        <v>664</v>
      </c>
      <c r="F155" s="4">
        <v>20</v>
      </c>
      <c r="G155" s="4">
        <v>10</v>
      </c>
      <c r="H155" s="4">
        <v>1994</v>
      </c>
      <c r="I155" s="2" t="s">
        <v>663</v>
      </c>
      <c r="J155" s="3" t="s">
        <v>26</v>
      </c>
      <c r="K155" s="6">
        <v>0</v>
      </c>
      <c r="L155" s="6">
        <v>0</v>
      </c>
      <c r="M155" s="6">
        <v>10</v>
      </c>
      <c r="O155" s="1">
        <f>(K155/(K155+ L155 +M155))</f>
        <v>0</v>
      </c>
      <c r="P155" s="1">
        <f>(L155/(K155+ L155 +M155))</f>
        <v>0</v>
      </c>
      <c r="Q155" s="1">
        <f>(M155/(K155+ L155 +M155))</f>
        <v>1</v>
      </c>
    </row>
    <row r="156" spans="1:17" ht="16" x14ac:dyDescent="0.2">
      <c r="A156" s="4">
        <v>177299</v>
      </c>
      <c r="B156" s="2" t="s">
        <v>662</v>
      </c>
      <c r="C156" s="2" t="s">
        <v>129</v>
      </c>
      <c r="D156" s="2" t="s">
        <v>23</v>
      </c>
      <c r="E156" s="2" t="s">
        <v>661</v>
      </c>
      <c r="F156" s="4">
        <v>6</v>
      </c>
      <c r="G156" s="4">
        <v>8</v>
      </c>
      <c r="H156" s="4">
        <v>2013</v>
      </c>
      <c r="I156" s="2" t="s">
        <v>660</v>
      </c>
      <c r="J156" s="3" t="s">
        <v>26</v>
      </c>
      <c r="K156" s="6">
        <v>0</v>
      </c>
      <c r="L156" s="6">
        <v>0</v>
      </c>
      <c r="M156" s="6">
        <v>19</v>
      </c>
      <c r="O156" s="1">
        <f>(K156/(K156+ L156 +M156))</f>
        <v>0</v>
      </c>
      <c r="P156" s="1">
        <f>(L156/(K156+ L156 +M156))</f>
        <v>0</v>
      </c>
      <c r="Q156" s="1">
        <f>(M156/(K156+ L156 +M156))</f>
        <v>1</v>
      </c>
    </row>
    <row r="157" spans="1:17" ht="16" x14ac:dyDescent="0.2">
      <c r="A157" s="4">
        <v>89846</v>
      </c>
      <c r="B157" s="2" t="s">
        <v>659</v>
      </c>
      <c r="C157" s="2" t="s">
        <v>658</v>
      </c>
      <c r="D157" s="2" t="s">
        <v>73</v>
      </c>
      <c r="E157" s="2" t="s">
        <v>657</v>
      </c>
      <c r="F157" s="4">
        <v>25</v>
      </c>
      <c r="G157" s="4">
        <v>7</v>
      </c>
      <c r="H157" s="4">
        <v>1989</v>
      </c>
      <c r="I157" s="2" t="s">
        <v>656</v>
      </c>
      <c r="J157" s="3" t="s">
        <v>26</v>
      </c>
      <c r="K157" s="6">
        <v>0</v>
      </c>
      <c r="L157" s="6">
        <v>0</v>
      </c>
      <c r="M157" s="6">
        <v>7</v>
      </c>
      <c r="O157" s="1">
        <f>(K157/(K157+ L157 +M157))</f>
        <v>0</v>
      </c>
      <c r="P157" s="1">
        <f>(L157/(K157+ L157 +M157))</f>
        <v>0</v>
      </c>
      <c r="Q157" s="1">
        <f>(M157/(K157+ L157 +M157))</f>
        <v>1</v>
      </c>
    </row>
    <row r="158" spans="1:17" ht="16" x14ac:dyDescent="0.2">
      <c r="A158" s="4">
        <v>155663</v>
      </c>
      <c r="B158" s="2" t="s">
        <v>655</v>
      </c>
      <c r="C158" s="2" t="s">
        <v>39</v>
      </c>
      <c r="D158" s="2" t="s">
        <v>14</v>
      </c>
      <c r="E158" s="4">
        <v>9711</v>
      </c>
      <c r="F158" s="4">
        <v>10</v>
      </c>
      <c r="G158" s="4">
        <v>8</v>
      </c>
      <c r="H158" s="4">
        <v>2001</v>
      </c>
      <c r="I158" s="2" t="s">
        <v>654</v>
      </c>
      <c r="J158" s="3" t="s">
        <v>26</v>
      </c>
      <c r="K158" s="6">
        <v>0</v>
      </c>
      <c r="L158" s="6">
        <v>0</v>
      </c>
      <c r="M158" s="6">
        <v>8</v>
      </c>
      <c r="O158" s="1">
        <f>(K158/(K158+ L158 +M158))</f>
        <v>0</v>
      </c>
      <c r="P158" s="1">
        <f>(L158/(K158+ L158 +M158))</f>
        <v>0</v>
      </c>
      <c r="Q158" s="1">
        <f>(M158/(K158+ L158 +M158))</f>
        <v>1</v>
      </c>
    </row>
    <row r="159" spans="1:17" ht="16" x14ac:dyDescent="0.2">
      <c r="A159" s="4">
        <v>181667</v>
      </c>
      <c r="B159" s="2" t="s">
        <v>653</v>
      </c>
      <c r="C159" s="2" t="s">
        <v>39</v>
      </c>
      <c r="D159" s="2" t="s">
        <v>23</v>
      </c>
      <c r="E159" s="2" t="s">
        <v>652</v>
      </c>
      <c r="F159" s="4">
        <v>28</v>
      </c>
      <c r="G159" s="4">
        <v>7</v>
      </c>
      <c r="H159" s="4">
        <v>2015</v>
      </c>
      <c r="I159" s="2" t="s">
        <v>651</v>
      </c>
      <c r="J159" s="3" t="s">
        <v>26</v>
      </c>
      <c r="K159" s="6">
        <v>0</v>
      </c>
      <c r="L159" s="6">
        <v>0</v>
      </c>
      <c r="M159" s="6">
        <v>2</v>
      </c>
      <c r="O159" s="1">
        <f>(K159/(K159+ L159 +M159))</f>
        <v>0</v>
      </c>
      <c r="P159" s="1">
        <f>(L159/(K159+ L159 +M159))</f>
        <v>0</v>
      </c>
      <c r="Q159" s="1">
        <f>(M159/(K159+ L159 +M159))</f>
        <v>1</v>
      </c>
    </row>
    <row r="160" spans="1:17" ht="16" x14ac:dyDescent="0.2">
      <c r="A160" s="4">
        <v>190645</v>
      </c>
      <c r="B160" s="2" t="s">
        <v>650</v>
      </c>
      <c r="C160" s="2" t="s">
        <v>39</v>
      </c>
      <c r="D160" s="2" t="s">
        <v>8</v>
      </c>
      <c r="E160" s="2" t="s">
        <v>649</v>
      </c>
      <c r="F160" s="4">
        <v>23</v>
      </c>
      <c r="G160" s="4">
        <v>9</v>
      </c>
      <c r="H160" s="4">
        <v>2020</v>
      </c>
      <c r="I160" s="2" t="s">
        <v>648</v>
      </c>
      <c r="J160" s="3" t="s">
        <v>26</v>
      </c>
      <c r="K160" s="6">
        <v>0</v>
      </c>
      <c r="L160" s="6">
        <v>0</v>
      </c>
      <c r="M160" s="6">
        <v>0</v>
      </c>
      <c r="O160" s="1" t="e">
        <f>(K160/(K160+ L160 +M160))</f>
        <v>#DIV/0!</v>
      </c>
      <c r="P160" s="1" t="e">
        <f>(L160/(K160+ L160 +M160))</f>
        <v>#DIV/0!</v>
      </c>
      <c r="Q160" s="1" t="e">
        <f>(M160/(K160+ L160 +M160))</f>
        <v>#DIV/0!</v>
      </c>
    </row>
    <row r="161" spans="1:17" ht="16" x14ac:dyDescent="0.2">
      <c r="A161" s="4">
        <v>36840</v>
      </c>
      <c r="B161" s="2" t="s">
        <v>647</v>
      </c>
      <c r="C161" s="2" t="s">
        <v>39</v>
      </c>
      <c r="D161" s="2" t="s">
        <v>14</v>
      </c>
      <c r="E161" s="4">
        <v>4748</v>
      </c>
      <c r="F161" s="4">
        <v>6</v>
      </c>
      <c r="G161" s="4">
        <v>7</v>
      </c>
      <c r="H161" s="4">
        <v>1979</v>
      </c>
      <c r="I161" s="2" t="s">
        <v>646</v>
      </c>
      <c r="J161" s="3" t="s">
        <v>26</v>
      </c>
      <c r="K161" s="6">
        <v>55</v>
      </c>
      <c r="L161" s="6">
        <v>22</v>
      </c>
      <c r="M161" s="6">
        <v>7</v>
      </c>
      <c r="O161" s="1">
        <f>(K161/(K161+ L161 +M161))</f>
        <v>0.65476190476190477</v>
      </c>
      <c r="P161" s="1">
        <f>(L161/(K161+ L161 +M161))</f>
        <v>0.26190476190476192</v>
      </c>
      <c r="Q161" s="1">
        <f>(M161/(K161+ L161 +M161))</f>
        <v>8.3333333333333329E-2</v>
      </c>
    </row>
    <row r="162" spans="1:17" ht="16" x14ac:dyDescent="0.2">
      <c r="A162" s="4">
        <v>170404</v>
      </c>
      <c r="B162" s="2" t="s">
        <v>645</v>
      </c>
      <c r="C162" s="2" t="s">
        <v>39</v>
      </c>
      <c r="D162" s="2" t="s">
        <v>23</v>
      </c>
      <c r="E162" s="2" t="s">
        <v>644</v>
      </c>
      <c r="F162" s="4">
        <v>7</v>
      </c>
      <c r="G162" s="4">
        <v>7</v>
      </c>
      <c r="H162" s="4">
        <v>2009</v>
      </c>
      <c r="I162" s="2" t="s">
        <v>643</v>
      </c>
      <c r="J162" s="3" t="s">
        <v>26</v>
      </c>
      <c r="K162" s="6">
        <v>172</v>
      </c>
      <c r="L162" s="6">
        <v>99</v>
      </c>
      <c r="M162" s="6">
        <v>0</v>
      </c>
      <c r="O162" s="1">
        <f>(K162/(K162+ L162 +M162))</f>
        <v>0.63468634686346859</v>
      </c>
      <c r="P162" s="1">
        <f>(L162/(K162+ L162 +M162))</f>
        <v>0.36531365313653136</v>
      </c>
      <c r="Q162" s="1">
        <f>(M162/(K162+ L162 +M162))</f>
        <v>0</v>
      </c>
    </row>
    <row r="163" spans="1:17" ht="16" x14ac:dyDescent="0.2">
      <c r="A163" s="4">
        <v>28123</v>
      </c>
      <c r="B163" s="2" t="s">
        <v>642</v>
      </c>
      <c r="C163" s="2" t="s">
        <v>39</v>
      </c>
      <c r="D163" s="2" t="s">
        <v>442</v>
      </c>
      <c r="E163" s="2" t="s">
        <v>244</v>
      </c>
      <c r="F163" s="4">
        <v>7</v>
      </c>
      <c r="G163" s="4">
        <v>7</v>
      </c>
      <c r="H163" s="4">
        <v>1972</v>
      </c>
      <c r="I163" s="2" t="s">
        <v>519</v>
      </c>
      <c r="J163" s="3" t="s">
        <v>26</v>
      </c>
      <c r="K163" s="6">
        <v>93</v>
      </c>
      <c r="L163" s="6">
        <v>33</v>
      </c>
      <c r="M163" s="6">
        <v>0</v>
      </c>
      <c r="O163" s="1">
        <f>(K163/(K163+ L163 +M163))</f>
        <v>0.73809523809523814</v>
      </c>
      <c r="P163" s="1">
        <f>(L163/(K163+ L163 +M163))</f>
        <v>0.26190476190476192</v>
      </c>
      <c r="Q163" s="1">
        <f>(M163/(K163+ L163 +M163))</f>
        <v>0</v>
      </c>
    </row>
    <row r="164" spans="1:17" ht="16" x14ac:dyDescent="0.2">
      <c r="A164" s="4">
        <v>145619</v>
      </c>
      <c r="B164" s="2" t="s">
        <v>641</v>
      </c>
      <c r="C164" s="2" t="s">
        <v>39</v>
      </c>
      <c r="D164" s="2" t="s">
        <v>245</v>
      </c>
      <c r="E164" s="2" t="s">
        <v>244</v>
      </c>
      <c r="F164" s="4">
        <v>28</v>
      </c>
      <c r="G164" s="4">
        <v>6</v>
      </c>
      <c r="H164" s="4">
        <v>1999</v>
      </c>
      <c r="I164" s="2" t="s">
        <v>619</v>
      </c>
      <c r="J164" s="3" t="s">
        <v>26</v>
      </c>
      <c r="K164" s="6">
        <v>200</v>
      </c>
      <c r="L164" s="6">
        <v>24</v>
      </c>
      <c r="M164" s="6">
        <v>0</v>
      </c>
      <c r="O164" s="1">
        <f>(K164/(K164+ L164 +M164))</f>
        <v>0.8928571428571429</v>
      </c>
      <c r="P164" s="1">
        <f>(L164/(K164+ L164 +M164))</f>
        <v>0.10714285714285714</v>
      </c>
      <c r="Q164" s="1">
        <f>(M164/(K164+ L164 +M164))</f>
        <v>0</v>
      </c>
    </row>
    <row r="165" spans="1:17" ht="16" x14ac:dyDescent="0.2">
      <c r="A165" s="4">
        <v>176995</v>
      </c>
      <c r="B165" s="2" t="s">
        <v>640</v>
      </c>
      <c r="C165" s="2" t="s">
        <v>39</v>
      </c>
      <c r="D165" s="2" t="s">
        <v>219</v>
      </c>
      <c r="E165" s="2" t="s">
        <v>639</v>
      </c>
      <c r="F165" s="4">
        <v>25</v>
      </c>
      <c r="G165" s="4">
        <v>7</v>
      </c>
      <c r="H165" s="4">
        <v>2013</v>
      </c>
      <c r="I165" s="2" t="s">
        <v>638</v>
      </c>
      <c r="J165" s="3" t="s">
        <v>26</v>
      </c>
      <c r="K165" s="6">
        <v>0</v>
      </c>
      <c r="L165" s="6">
        <v>0</v>
      </c>
      <c r="M165" s="6">
        <v>47</v>
      </c>
      <c r="O165" s="1">
        <f>(K165/(K165+ L165 +M165))</f>
        <v>0</v>
      </c>
      <c r="P165" s="1">
        <f>(L165/(K165+ L165 +M165))</f>
        <v>0</v>
      </c>
      <c r="Q165" s="1">
        <f>(M165/(K165+ L165 +M165))</f>
        <v>1</v>
      </c>
    </row>
    <row r="166" spans="1:17" ht="16" x14ac:dyDescent="0.2">
      <c r="A166" s="4">
        <v>127877</v>
      </c>
      <c r="B166" s="2" t="s">
        <v>637</v>
      </c>
      <c r="C166" s="2" t="s">
        <v>39</v>
      </c>
      <c r="D166" s="2" t="s">
        <v>59</v>
      </c>
      <c r="E166" s="2" t="s">
        <v>636</v>
      </c>
      <c r="F166" s="4">
        <v>10</v>
      </c>
      <c r="G166" s="4">
        <v>7</v>
      </c>
      <c r="H166" s="4">
        <v>1995</v>
      </c>
      <c r="I166" s="2" t="s">
        <v>635</v>
      </c>
      <c r="J166" s="3" t="s">
        <v>26</v>
      </c>
      <c r="K166" s="6">
        <v>23</v>
      </c>
      <c r="L166" s="6">
        <v>33</v>
      </c>
      <c r="M166" s="6">
        <v>0</v>
      </c>
      <c r="O166" s="1">
        <f>(K166/(K166+ L166 +M166))</f>
        <v>0.4107142857142857</v>
      </c>
      <c r="P166" s="1">
        <f>(L166/(K166+ L166 +M166))</f>
        <v>0.5892857142857143</v>
      </c>
      <c r="Q166" s="1">
        <f>(M166/(K166+ L166 +M166))</f>
        <v>0</v>
      </c>
    </row>
    <row r="167" spans="1:17" ht="16" x14ac:dyDescent="0.2">
      <c r="A167" s="4">
        <v>28122</v>
      </c>
      <c r="B167" s="2" t="s">
        <v>634</v>
      </c>
      <c r="C167" s="2" t="s">
        <v>39</v>
      </c>
      <c r="D167" s="2" t="s">
        <v>442</v>
      </c>
      <c r="E167" s="2" t="s">
        <v>244</v>
      </c>
      <c r="F167" s="4">
        <v>10</v>
      </c>
      <c r="G167" s="4">
        <v>7</v>
      </c>
      <c r="H167" s="4">
        <v>1972</v>
      </c>
      <c r="I167" s="2" t="s">
        <v>519</v>
      </c>
      <c r="J167" s="3" t="s">
        <v>26</v>
      </c>
      <c r="K167" s="6">
        <v>80</v>
      </c>
      <c r="L167" s="6">
        <v>76</v>
      </c>
      <c r="M167" s="6">
        <v>0</v>
      </c>
      <c r="O167" s="1">
        <f>(K167/(K167+ L167 +M167))</f>
        <v>0.51282051282051277</v>
      </c>
      <c r="P167" s="1">
        <f>(L167/(K167+ L167 +M167))</f>
        <v>0.48717948717948717</v>
      </c>
      <c r="Q167" s="1">
        <f>(M167/(K167+ L167 +M167))</f>
        <v>0</v>
      </c>
    </row>
    <row r="168" spans="1:17" ht="16" x14ac:dyDescent="0.2">
      <c r="A168" s="4">
        <v>172905</v>
      </c>
      <c r="B168" s="2" t="s">
        <v>633</v>
      </c>
      <c r="C168" s="2" t="s">
        <v>39</v>
      </c>
      <c r="D168" s="2" t="s">
        <v>69</v>
      </c>
      <c r="E168" s="2" t="s">
        <v>632</v>
      </c>
      <c r="F168" s="4">
        <v>8</v>
      </c>
      <c r="G168" s="4">
        <v>7</v>
      </c>
      <c r="H168" s="4">
        <v>2011</v>
      </c>
      <c r="I168" s="2" t="s">
        <v>631</v>
      </c>
      <c r="J168" s="3" t="s">
        <v>26</v>
      </c>
      <c r="K168" s="6">
        <v>160</v>
      </c>
      <c r="L168" s="6">
        <v>157</v>
      </c>
      <c r="M168" s="6">
        <v>0</v>
      </c>
      <c r="O168" s="1">
        <f>(K168/(K168+ L168 +M168))</f>
        <v>0.50473186119873814</v>
      </c>
      <c r="P168" s="1">
        <f>(L168/(K168+ L168 +M168))</f>
        <v>0.4952681388012618</v>
      </c>
      <c r="Q168" s="1">
        <f>(M168/(K168+ L168 +M168))</f>
        <v>0</v>
      </c>
    </row>
    <row r="169" spans="1:17" ht="16" x14ac:dyDescent="0.2">
      <c r="A169" s="4">
        <v>167439</v>
      </c>
      <c r="B169" s="2" t="s">
        <v>630</v>
      </c>
      <c r="C169" s="2" t="s">
        <v>39</v>
      </c>
      <c r="D169" s="2" t="s">
        <v>237</v>
      </c>
      <c r="E169" s="2" t="s">
        <v>629</v>
      </c>
      <c r="F169" s="4">
        <v>21</v>
      </c>
      <c r="G169" s="4">
        <v>8</v>
      </c>
      <c r="H169" s="4">
        <v>2008</v>
      </c>
      <c r="I169" s="2" t="s">
        <v>628</v>
      </c>
      <c r="J169" s="3" t="s">
        <v>26</v>
      </c>
      <c r="K169" s="6">
        <v>0</v>
      </c>
      <c r="L169" s="6">
        <v>0</v>
      </c>
      <c r="M169" s="6">
        <v>60</v>
      </c>
      <c r="O169" s="1">
        <f>(K169/(K169+ L169 +M169))</f>
        <v>0</v>
      </c>
      <c r="P169" s="1">
        <f>(L169/(K169+ L169 +M169))</f>
        <v>0</v>
      </c>
      <c r="Q169" s="1">
        <f>(M169/(K169+ L169 +M169))</f>
        <v>1</v>
      </c>
    </row>
    <row r="170" spans="1:17" ht="16" x14ac:dyDescent="0.2">
      <c r="A170" s="4">
        <v>152545</v>
      </c>
      <c r="B170" s="2" t="s">
        <v>627</v>
      </c>
      <c r="C170" s="2" t="s">
        <v>39</v>
      </c>
      <c r="D170" s="2" t="s">
        <v>73</v>
      </c>
      <c r="E170" s="2" t="s">
        <v>626</v>
      </c>
      <c r="F170" s="4">
        <v>10</v>
      </c>
      <c r="G170" s="4">
        <v>7</v>
      </c>
      <c r="H170" s="4">
        <v>2001</v>
      </c>
      <c r="I170" s="2" t="s">
        <v>625</v>
      </c>
      <c r="J170" s="3" t="s">
        <v>26</v>
      </c>
      <c r="K170" s="6">
        <v>0</v>
      </c>
      <c r="L170" s="6">
        <v>21</v>
      </c>
      <c r="M170" s="6">
        <v>26</v>
      </c>
      <c r="O170" s="1">
        <f>(K170/(K170+ L170 +M170))</f>
        <v>0</v>
      </c>
      <c r="P170" s="1">
        <f>(L170/(K170+ L170 +M170))</f>
        <v>0.44680851063829785</v>
      </c>
      <c r="Q170" s="1">
        <f>(M170/(K170+ L170 +M170))</f>
        <v>0.55319148936170215</v>
      </c>
    </row>
    <row r="171" spans="1:17" ht="16" x14ac:dyDescent="0.2">
      <c r="A171" s="4">
        <v>176996</v>
      </c>
      <c r="B171" s="2" t="s">
        <v>624</v>
      </c>
      <c r="C171" s="2" t="s">
        <v>39</v>
      </c>
      <c r="D171" s="2" t="s">
        <v>69</v>
      </c>
      <c r="E171" s="2" t="s">
        <v>623</v>
      </c>
      <c r="F171" s="4">
        <v>25</v>
      </c>
      <c r="G171" s="4">
        <v>7</v>
      </c>
      <c r="H171" s="4">
        <v>2013</v>
      </c>
      <c r="I171" s="2" t="s">
        <v>622</v>
      </c>
      <c r="J171" s="3" t="s">
        <v>26</v>
      </c>
      <c r="K171" s="6">
        <v>0</v>
      </c>
      <c r="L171" s="6">
        <v>3</v>
      </c>
      <c r="M171" s="6">
        <v>31</v>
      </c>
      <c r="O171" s="1">
        <f>(K171/(K171+ L171 +M171))</f>
        <v>0</v>
      </c>
      <c r="P171" s="1">
        <f>(L171/(K171+ L171 +M171))</f>
        <v>8.8235294117647065E-2</v>
      </c>
      <c r="Q171" s="1">
        <f>(M171/(K171+ L171 +M171))</f>
        <v>0.91176470588235292</v>
      </c>
    </row>
    <row r="172" spans="1:17" ht="16" x14ac:dyDescent="0.2">
      <c r="A172" s="4">
        <v>146187</v>
      </c>
      <c r="B172" s="2" t="s">
        <v>621</v>
      </c>
      <c r="C172" s="2" t="s">
        <v>39</v>
      </c>
      <c r="D172" s="2" t="s">
        <v>73</v>
      </c>
      <c r="E172" s="2" t="s">
        <v>620</v>
      </c>
      <c r="F172" s="4">
        <v>13</v>
      </c>
      <c r="G172" s="4">
        <v>9</v>
      </c>
      <c r="H172" s="4">
        <v>1999</v>
      </c>
      <c r="I172" s="2" t="s">
        <v>619</v>
      </c>
      <c r="J172" s="3" t="s">
        <v>26</v>
      </c>
      <c r="K172" s="6">
        <v>0</v>
      </c>
      <c r="L172" s="6">
        <v>0</v>
      </c>
      <c r="M172" s="6">
        <v>1</v>
      </c>
      <c r="O172" s="1">
        <f>(K172/(K172+ L172 +M172))</f>
        <v>0</v>
      </c>
      <c r="P172" s="1">
        <f>(L172/(K172+ L172 +M172))</f>
        <v>0</v>
      </c>
      <c r="Q172" s="1">
        <f>(M172/(K172+ L172 +M172))</f>
        <v>1</v>
      </c>
    </row>
    <row r="173" spans="1:17" ht="16" x14ac:dyDescent="0.2">
      <c r="A173" s="4">
        <v>36823</v>
      </c>
      <c r="B173" s="2" t="s">
        <v>618</v>
      </c>
      <c r="C173" s="2" t="s">
        <v>39</v>
      </c>
      <c r="D173" s="2" t="s">
        <v>14</v>
      </c>
      <c r="E173" s="4">
        <v>4761</v>
      </c>
      <c r="F173" s="4">
        <v>9</v>
      </c>
      <c r="G173" s="4">
        <v>7</v>
      </c>
      <c r="H173" s="4">
        <v>1979</v>
      </c>
      <c r="I173" s="2" t="s">
        <v>617</v>
      </c>
      <c r="J173" s="3" t="s">
        <v>26</v>
      </c>
      <c r="K173" s="6">
        <v>47</v>
      </c>
      <c r="L173" s="6">
        <v>30</v>
      </c>
      <c r="M173" s="6">
        <v>0</v>
      </c>
      <c r="O173" s="1">
        <f>(K173/(K173+ L173 +M173))</f>
        <v>0.61038961038961037</v>
      </c>
      <c r="P173" s="1">
        <f>(L173/(K173+ L173 +M173))</f>
        <v>0.38961038961038963</v>
      </c>
      <c r="Q173" s="1">
        <f>(M173/(K173+ L173 +M173))</f>
        <v>0</v>
      </c>
    </row>
    <row r="174" spans="1:17" ht="16" x14ac:dyDescent="0.2">
      <c r="A174" s="4">
        <v>28124</v>
      </c>
      <c r="B174" s="2" t="s">
        <v>616</v>
      </c>
      <c r="C174" s="2" t="s">
        <v>39</v>
      </c>
      <c r="D174" s="2" t="s">
        <v>615</v>
      </c>
      <c r="E174" s="2" t="s">
        <v>244</v>
      </c>
      <c r="F174" s="4">
        <v>10</v>
      </c>
      <c r="G174" s="4">
        <v>7</v>
      </c>
      <c r="H174" s="4">
        <v>1969</v>
      </c>
      <c r="I174" s="2" t="s">
        <v>614</v>
      </c>
      <c r="J174" s="3" t="s">
        <v>26</v>
      </c>
      <c r="K174" s="6">
        <v>10</v>
      </c>
      <c r="L174" s="6">
        <v>49</v>
      </c>
      <c r="M174" s="6">
        <v>16</v>
      </c>
      <c r="O174" s="1">
        <f>(K174/(K174+ L174 +M174))</f>
        <v>0.13333333333333333</v>
      </c>
      <c r="P174" s="1">
        <f>(L174/(K174+ L174 +M174))</f>
        <v>0.65333333333333332</v>
      </c>
      <c r="Q174" s="1">
        <f>(M174/(K174+ L174 +M174))</f>
        <v>0.21333333333333335</v>
      </c>
    </row>
    <row r="175" spans="1:17" ht="16" x14ac:dyDescent="0.2">
      <c r="A175" s="4">
        <v>143960</v>
      </c>
      <c r="B175" s="2" t="s">
        <v>613</v>
      </c>
      <c r="C175" s="2" t="s">
        <v>39</v>
      </c>
      <c r="D175" s="2" t="s">
        <v>245</v>
      </c>
      <c r="E175" s="2" t="s">
        <v>244</v>
      </c>
      <c r="F175" s="4">
        <v>28</v>
      </c>
      <c r="G175" s="4">
        <v>6</v>
      </c>
      <c r="H175" s="4">
        <v>1999</v>
      </c>
      <c r="I175" s="2" t="s">
        <v>612</v>
      </c>
      <c r="J175" s="3" t="s">
        <v>26</v>
      </c>
      <c r="K175" s="6">
        <v>218</v>
      </c>
      <c r="L175" s="6">
        <v>42</v>
      </c>
      <c r="M175" s="6">
        <v>0</v>
      </c>
      <c r="O175" s="1">
        <f>(K175/(K175+ L175 +M175))</f>
        <v>0.83846153846153848</v>
      </c>
      <c r="P175" s="1">
        <f>(L175/(K175+ L175 +M175))</f>
        <v>0.16153846153846155</v>
      </c>
      <c r="Q175" s="1">
        <f>(M175/(K175+ L175 +M175))</f>
        <v>0</v>
      </c>
    </row>
    <row r="176" spans="1:17" ht="16" x14ac:dyDescent="0.2">
      <c r="A176" s="4">
        <v>168942</v>
      </c>
      <c r="B176" s="2" t="s">
        <v>611</v>
      </c>
      <c r="C176" s="2" t="s">
        <v>39</v>
      </c>
      <c r="D176" s="2" t="s">
        <v>23</v>
      </c>
      <c r="E176" s="2" t="s">
        <v>610</v>
      </c>
      <c r="F176" s="4">
        <v>29</v>
      </c>
      <c r="G176" s="4">
        <v>9</v>
      </c>
      <c r="H176" s="4">
        <v>2009</v>
      </c>
      <c r="I176" s="2" t="s">
        <v>609</v>
      </c>
      <c r="J176" s="3" t="s">
        <v>26</v>
      </c>
      <c r="K176" s="6">
        <v>0</v>
      </c>
      <c r="L176" s="6">
        <v>0</v>
      </c>
      <c r="M176" s="6">
        <v>40</v>
      </c>
      <c r="O176" s="1">
        <f>(K176/(K176+ L176 +M176))</f>
        <v>0</v>
      </c>
      <c r="P176" s="1">
        <f>(L176/(K176+ L176 +M176))</f>
        <v>0</v>
      </c>
      <c r="Q176" s="1">
        <f>(M176/(K176+ L176 +M176))</f>
        <v>1</v>
      </c>
    </row>
    <row r="177" spans="1:17" ht="16" x14ac:dyDescent="0.2">
      <c r="A177" s="4">
        <v>95434</v>
      </c>
      <c r="B177" s="2" t="s">
        <v>608</v>
      </c>
      <c r="C177" s="2" t="s">
        <v>39</v>
      </c>
      <c r="D177" s="2" t="s">
        <v>73</v>
      </c>
      <c r="E177" s="2" t="s">
        <v>607</v>
      </c>
      <c r="F177" s="4">
        <v>14</v>
      </c>
      <c r="G177" s="4">
        <v>8</v>
      </c>
      <c r="H177" s="4">
        <v>1990</v>
      </c>
      <c r="I177" s="2" t="s">
        <v>606</v>
      </c>
      <c r="J177" s="3" t="s">
        <v>26</v>
      </c>
      <c r="K177" s="6">
        <v>0</v>
      </c>
      <c r="L177" s="6">
        <v>0</v>
      </c>
      <c r="M177" s="6">
        <v>20</v>
      </c>
      <c r="O177" s="1">
        <f>(K177/(K177+ L177 +M177))</f>
        <v>0</v>
      </c>
      <c r="P177" s="1">
        <f>(L177/(K177+ L177 +M177))</f>
        <v>0</v>
      </c>
      <c r="Q177" s="1">
        <f>(M177/(K177+ L177 +M177))</f>
        <v>1</v>
      </c>
    </row>
    <row r="178" spans="1:17" ht="16" x14ac:dyDescent="0.2">
      <c r="A178" s="4">
        <v>54628</v>
      </c>
      <c r="B178" s="2" t="s">
        <v>605</v>
      </c>
      <c r="C178" s="2" t="s">
        <v>39</v>
      </c>
      <c r="D178" s="2" t="s">
        <v>377</v>
      </c>
      <c r="E178" s="2" t="s">
        <v>244</v>
      </c>
      <c r="F178" s="4">
        <v>10</v>
      </c>
      <c r="G178" s="4">
        <v>7</v>
      </c>
      <c r="H178" s="4">
        <v>1984</v>
      </c>
      <c r="I178" s="2" t="s">
        <v>604</v>
      </c>
      <c r="J178" s="3" t="s">
        <v>26</v>
      </c>
      <c r="K178" s="6">
        <v>149</v>
      </c>
      <c r="L178" s="6">
        <v>100</v>
      </c>
      <c r="M178" s="6">
        <v>0</v>
      </c>
      <c r="O178" s="1">
        <f>(K178/(K178+ L178 +M178))</f>
        <v>0.59839357429718876</v>
      </c>
      <c r="P178" s="1">
        <f>(L178/(K178+ L178 +M178))</f>
        <v>0.40160642570281124</v>
      </c>
      <c r="Q178" s="1">
        <f>(M178/(K178+ L178 +M178))</f>
        <v>0</v>
      </c>
    </row>
    <row r="179" spans="1:17" ht="16" x14ac:dyDescent="0.2">
      <c r="A179" s="4">
        <v>34698</v>
      </c>
      <c r="B179" s="2" t="s">
        <v>603</v>
      </c>
      <c r="C179" s="2" t="s">
        <v>107</v>
      </c>
      <c r="D179" s="2" t="s">
        <v>14</v>
      </c>
      <c r="E179" s="4">
        <v>4447</v>
      </c>
      <c r="F179" s="4">
        <v>6</v>
      </c>
      <c r="G179" s="4">
        <v>10</v>
      </c>
      <c r="H179" s="4">
        <v>1978</v>
      </c>
      <c r="I179" s="2" t="s">
        <v>602</v>
      </c>
      <c r="J179" s="3" t="s">
        <v>26</v>
      </c>
      <c r="K179" s="6">
        <v>0</v>
      </c>
      <c r="L179" s="6">
        <v>0</v>
      </c>
      <c r="M179" s="6">
        <v>11</v>
      </c>
      <c r="O179" s="1">
        <f>(K179/(K179+ L179 +M179))</f>
        <v>0</v>
      </c>
      <c r="P179" s="1">
        <f>(L179/(K179+ L179 +M179))</f>
        <v>0</v>
      </c>
      <c r="Q179" s="1">
        <f>(M179/(K179+ L179 +M179))</f>
        <v>1</v>
      </c>
    </row>
    <row r="180" spans="1:17" ht="16" x14ac:dyDescent="0.2">
      <c r="A180" s="4">
        <v>36845</v>
      </c>
      <c r="B180" s="2" t="s">
        <v>601</v>
      </c>
      <c r="C180" s="2" t="s">
        <v>107</v>
      </c>
      <c r="D180" s="2" t="s">
        <v>277</v>
      </c>
      <c r="E180" s="4">
        <v>7917</v>
      </c>
      <c r="F180" s="4">
        <v>6</v>
      </c>
      <c r="G180" s="4">
        <v>7</v>
      </c>
      <c r="H180" s="4">
        <v>1979</v>
      </c>
      <c r="I180" s="2" t="s">
        <v>600</v>
      </c>
      <c r="J180" s="3" t="s">
        <v>26</v>
      </c>
      <c r="K180" s="6">
        <v>0</v>
      </c>
      <c r="L180" s="6">
        <v>0</v>
      </c>
      <c r="M180" s="6">
        <v>11</v>
      </c>
      <c r="O180" s="1">
        <f>(K180/(K180+ L180 +M180))</f>
        <v>0</v>
      </c>
      <c r="P180" s="1">
        <f>(L180/(K180+ L180 +M180))</f>
        <v>0</v>
      </c>
      <c r="Q180" s="1">
        <f>(M180/(K180+ L180 +M180))</f>
        <v>1</v>
      </c>
    </row>
    <row r="181" spans="1:17" ht="16" x14ac:dyDescent="0.2">
      <c r="A181" s="4">
        <v>154087</v>
      </c>
      <c r="B181" s="2" t="s">
        <v>599</v>
      </c>
      <c r="C181" s="2" t="s">
        <v>107</v>
      </c>
      <c r="D181" s="2" t="s">
        <v>73</v>
      </c>
      <c r="E181" s="2" t="s">
        <v>598</v>
      </c>
      <c r="F181" s="4">
        <v>17</v>
      </c>
      <c r="G181" s="4">
        <v>7</v>
      </c>
      <c r="H181" s="4">
        <v>2001</v>
      </c>
      <c r="I181" s="2" t="s">
        <v>584</v>
      </c>
      <c r="J181" s="3" t="s">
        <v>26</v>
      </c>
      <c r="K181" s="6">
        <v>0</v>
      </c>
      <c r="L181" s="6">
        <v>0</v>
      </c>
      <c r="M181" s="6">
        <v>15</v>
      </c>
      <c r="O181" s="1">
        <f>(K181/(K181+ L181 +M181))</f>
        <v>0</v>
      </c>
      <c r="P181" s="1">
        <f>(L181/(K181+ L181 +M181))</f>
        <v>0</v>
      </c>
      <c r="Q181" s="1">
        <f>(M181/(K181+ L181 +M181))</f>
        <v>1</v>
      </c>
    </row>
    <row r="182" spans="1:17" ht="16" x14ac:dyDescent="0.2">
      <c r="A182" s="4">
        <v>120597</v>
      </c>
      <c r="B182" s="2" t="s">
        <v>597</v>
      </c>
      <c r="C182" s="2" t="s">
        <v>107</v>
      </c>
      <c r="D182" s="2" t="s">
        <v>73</v>
      </c>
      <c r="E182" s="2" t="s">
        <v>596</v>
      </c>
      <c r="F182" s="4">
        <v>16</v>
      </c>
      <c r="G182" s="4">
        <v>8</v>
      </c>
      <c r="H182" s="4">
        <v>1994</v>
      </c>
      <c r="I182" s="2" t="s">
        <v>595</v>
      </c>
      <c r="J182" s="3" t="s">
        <v>26</v>
      </c>
      <c r="K182" s="6">
        <v>0</v>
      </c>
      <c r="L182" s="6">
        <v>0</v>
      </c>
      <c r="M182" s="6">
        <v>10</v>
      </c>
      <c r="O182" s="1">
        <f>(K182/(K182+ L182 +M182))</f>
        <v>0</v>
      </c>
      <c r="P182" s="1">
        <f>(L182/(K182+ L182 +M182))</f>
        <v>0</v>
      </c>
      <c r="Q182" s="1">
        <f>(M182/(K182+ L182 +M182))</f>
        <v>1</v>
      </c>
    </row>
    <row r="183" spans="1:17" ht="16" x14ac:dyDescent="0.2">
      <c r="A183" s="4">
        <v>93265</v>
      </c>
      <c r="B183" s="2" t="s">
        <v>594</v>
      </c>
      <c r="C183" s="2" t="s">
        <v>107</v>
      </c>
      <c r="D183" s="2" t="s">
        <v>73</v>
      </c>
      <c r="E183" s="2" t="s">
        <v>593</v>
      </c>
      <c r="F183" s="4">
        <v>17</v>
      </c>
      <c r="G183" s="4">
        <v>7</v>
      </c>
      <c r="H183" s="4">
        <v>1990</v>
      </c>
      <c r="I183" s="2" t="s">
        <v>592</v>
      </c>
      <c r="J183" s="3" t="s">
        <v>26</v>
      </c>
      <c r="K183" s="6">
        <v>0</v>
      </c>
      <c r="L183" s="6">
        <v>0</v>
      </c>
      <c r="M183" s="6">
        <v>32</v>
      </c>
      <c r="O183" s="1">
        <f>(K183/(K183+ L183 +M183))</f>
        <v>0</v>
      </c>
      <c r="P183" s="1">
        <f>(L183/(K183+ L183 +M183))</f>
        <v>0</v>
      </c>
      <c r="Q183" s="1">
        <f>(M183/(K183+ L183 +M183))</f>
        <v>1</v>
      </c>
    </row>
    <row r="184" spans="1:17" ht="16" x14ac:dyDescent="0.2">
      <c r="A184" s="4">
        <v>94005</v>
      </c>
      <c r="B184" s="2" t="s">
        <v>591</v>
      </c>
      <c r="C184" s="2" t="s">
        <v>107</v>
      </c>
      <c r="D184" s="2" t="s">
        <v>590</v>
      </c>
      <c r="E184" s="2" t="s">
        <v>589</v>
      </c>
      <c r="F184" s="4">
        <v>17</v>
      </c>
      <c r="G184" s="4">
        <v>7</v>
      </c>
      <c r="H184" s="4">
        <v>1990</v>
      </c>
      <c r="I184" s="2" t="s">
        <v>581</v>
      </c>
      <c r="J184" s="3" t="s">
        <v>26</v>
      </c>
      <c r="K184" s="6">
        <v>0</v>
      </c>
      <c r="L184" s="6">
        <v>0</v>
      </c>
      <c r="M184" s="6">
        <v>24</v>
      </c>
      <c r="O184" s="1">
        <f>(K184/(K184+ L184 +M184))</f>
        <v>0</v>
      </c>
      <c r="P184" s="1">
        <f>(L184/(K184+ L184 +M184))</f>
        <v>0</v>
      </c>
      <c r="Q184" s="1">
        <f>(M184/(K184+ L184 +M184))</f>
        <v>1</v>
      </c>
    </row>
    <row r="185" spans="1:17" ht="16" x14ac:dyDescent="0.2">
      <c r="A185" s="4">
        <v>105005</v>
      </c>
      <c r="B185" s="2" t="s">
        <v>588</v>
      </c>
      <c r="C185" s="2" t="s">
        <v>107</v>
      </c>
      <c r="D185" s="2" t="s">
        <v>14</v>
      </c>
      <c r="E185" s="2" t="s">
        <v>587</v>
      </c>
      <c r="F185" s="4">
        <v>9</v>
      </c>
      <c r="G185" s="4">
        <v>7</v>
      </c>
      <c r="H185" s="4">
        <v>1992</v>
      </c>
      <c r="I185" s="2" t="s">
        <v>584</v>
      </c>
      <c r="J185" s="3" t="s">
        <v>26</v>
      </c>
      <c r="K185" s="6">
        <v>0</v>
      </c>
      <c r="L185" s="6">
        <v>0</v>
      </c>
      <c r="M185" s="6">
        <v>0</v>
      </c>
      <c r="O185" s="1" t="e">
        <f>(K185/(K185+ L185 +M185))</f>
        <v>#DIV/0!</v>
      </c>
      <c r="P185" s="1" t="e">
        <f>(L185/(K185+ L185 +M185))</f>
        <v>#DIV/0!</v>
      </c>
      <c r="Q185" s="1" t="e">
        <f>(M185/(K185+ L185 +M185))</f>
        <v>#DIV/0!</v>
      </c>
    </row>
    <row r="186" spans="1:17" ht="16" x14ac:dyDescent="0.2">
      <c r="A186" s="4">
        <v>142716</v>
      </c>
      <c r="B186" s="2" t="s">
        <v>586</v>
      </c>
      <c r="C186" s="2" t="s">
        <v>107</v>
      </c>
      <c r="D186" s="2" t="s">
        <v>271</v>
      </c>
      <c r="E186" s="2" t="s">
        <v>585</v>
      </c>
      <c r="F186" s="4">
        <v>15</v>
      </c>
      <c r="G186" s="4">
        <v>6</v>
      </c>
      <c r="H186" s="4">
        <v>1998</v>
      </c>
      <c r="I186" s="2" t="s">
        <v>584</v>
      </c>
      <c r="J186" s="3" t="s">
        <v>26</v>
      </c>
      <c r="K186" s="6">
        <v>10</v>
      </c>
      <c r="L186" s="6">
        <v>17</v>
      </c>
      <c r="M186" s="6">
        <v>2</v>
      </c>
      <c r="O186" s="1">
        <f>(K186/(K186+ L186 +M186))</f>
        <v>0.34482758620689657</v>
      </c>
      <c r="P186" s="1">
        <f>(L186/(K186+ L186 +M186))</f>
        <v>0.58620689655172409</v>
      </c>
      <c r="Q186" s="1">
        <f>(M186/(K186+ L186 +M186))</f>
        <v>6.8965517241379309E-2</v>
      </c>
    </row>
    <row r="187" spans="1:17" ht="16" x14ac:dyDescent="0.2">
      <c r="A187" s="4">
        <v>112875</v>
      </c>
      <c r="B187" s="2" t="s">
        <v>583</v>
      </c>
      <c r="C187" s="2" t="s">
        <v>107</v>
      </c>
      <c r="D187" s="2" t="s">
        <v>59</v>
      </c>
      <c r="E187" s="2" t="s">
        <v>582</v>
      </c>
      <c r="F187" s="4">
        <v>22</v>
      </c>
      <c r="G187" s="4">
        <v>6</v>
      </c>
      <c r="H187" s="4">
        <v>1993</v>
      </c>
      <c r="I187" s="2" t="s">
        <v>581</v>
      </c>
      <c r="J187" s="3" t="s">
        <v>26</v>
      </c>
      <c r="K187" s="6">
        <v>3</v>
      </c>
      <c r="L187" s="6">
        <v>85</v>
      </c>
      <c r="M187" s="6">
        <v>16</v>
      </c>
      <c r="O187" s="1">
        <f>(K187/(K187+ L187 +M187))</f>
        <v>2.8846153846153848E-2</v>
      </c>
      <c r="P187" s="1">
        <f>(L187/(K187+ L187 +M187))</f>
        <v>0.81730769230769229</v>
      </c>
      <c r="Q187" s="1">
        <f>(M187/(K187+ L187 +M187))</f>
        <v>0.15384615384615385</v>
      </c>
    </row>
    <row r="188" spans="1:17" ht="16" x14ac:dyDescent="0.2">
      <c r="A188" s="4">
        <v>36846</v>
      </c>
      <c r="B188" s="2" t="s">
        <v>580</v>
      </c>
      <c r="C188" s="2" t="s">
        <v>107</v>
      </c>
      <c r="D188" s="2" t="s">
        <v>277</v>
      </c>
      <c r="E188" s="4">
        <v>7913</v>
      </c>
      <c r="F188" s="4">
        <v>6</v>
      </c>
      <c r="G188" s="4">
        <v>7</v>
      </c>
      <c r="H188" s="4">
        <v>1979</v>
      </c>
      <c r="I188" s="2" t="s">
        <v>579</v>
      </c>
      <c r="J188" s="3" t="s">
        <v>26</v>
      </c>
      <c r="K188" s="6">
        <v>0</v>
      </c>
      <c r="L188" s="6">
        <v>0</v>
      </c>
      <c r="M188" s="6">
        <v>10</v>
      </c>
      <c r="O188" s="1">
        <f>(K188/(K188+ L188 +M188))</f>
        <v>0</v>
      </c>
      <c r="P188" s="1">
        <f>(L188/(K188+ L188 +M188))</f>
        <v>0</v>
      </c>
      <c r="Q188" s="1">
        <f>(M188/(K188+ L188 +M188))</f>
        <v>1</v>
      </c>
    </row>
    <row r="189" spans="1:17" ht="16" x14ac:dyDescent="0.2">
      <c r="A189" s="4">
        <v>112867</v>
      </c>
      <c r="B189" s="2" t="s">
        <v>578</v>
      </c>
      <c r="C189" s="2" t="s">
        <v>107</v>
      </c>
      <c r="D189" s="2" t="s">
        <v>59</v>
      </c>
      <c r="E189" s="2" t="s">
        <v>577</v>
      </c>
      <c r="F189" s="4">
        <v>22</v>
      </c>
      <c r="G189" s="4">
        <v>6</v>
      </c>
      <c r="H189" s="4">
        <v>1993</v>
      </c>
      <c r="I189" s="2" t="s">
        <v>576</v>
      </c>
      <c r="J189" s="3" t="s">
        <v>26</v>
      </c>
      <c r="K189" s="6">
        <v>13</v>
      </c>
      <c r="L189" s="6">
        <v>44</v>
      </c>
      <c r="M189" s="6">
        <v>6</v>
      </c>
      <c r="O189" s="1">
        <f>(K189/(K189+ L189 +M189))</f>
        <v>0.20634920634920634</v>
      </c>
      <c r="P189" s="1">
        <f>(L189/(K189+ L189 +M189))</f>
        <v>0.69841269841269837</v>
      </c>
      <c r="Q189" s="1">
        <f>(M189/(K189+ L189 +M189))</f>
        <v>9.5238095238095233E-2</v>
      </c>
    </row>
    <row r="190" spans="1:17" ht="16" x14ac:dyDescent="0.2">
      <c r="A190" s="4">
        <v>97888</v>
      </c>
      <c r="B190" s="2" t="s">
        <v>575</v>
      </c>
      <c r="C190" s="2" t="s">
        <v>107</v>
      </c>
      <c r="D190" s="2" t="s">
        <v>59</v>
      </c>
      <c r="E190" s="2" t="s">
        <v>574</v>
      </c>
      <c r="F190" s="4">
        <v>20</v>
      </c>
      <c r="G190" s="4">
        <v>6</v>
      </c>
      <c r="H190" s="4">
        <v>1991</v>
      </c>
      <c r="I190" s="2" t="s">
        <v>573</v>
      </c>
      <c r="J190" s="3" t="s">
        <v>26</v>
      </c>
      <c r="K190" s="6">
        <v>0</v>
      </c>
      <c r="L190" s="6">
        <v>1</v>
      </c>
      <c r="M190" s="6">
        <v>4</v>
      </c>
      <c r="O190" s="1">
        <f>(K190/(K190+ L190 +M190))</f>
        <v>0</v>
      </c>
      <c r="P190" s="1">
        <f>(L190/(K190+ L190 +M190))</f>
        <v>0.2</v>
      </c>
      <c r="Q190" s="1">
        <f>(M190/(K190+ L190 +M190))</f>
        <v>0.8</v>
      </c>
    </row>
    <row r="191" spans="1:17" ht="16" x14ac:dyDescent="0.2">
      <c r="A191" s="4">
        <v>153302</v>
      </c>
      <c r="B191" s="2" t="s">
        <v>572</v>
      </c>
      <c r="C191" s="2" t="s">
        <v>107</v>
      </c>
      <c r="D191" s="2" t="s">
        <v>277</v>
      </c>
      <c r="E191" s="2" t="s">
        <v>571</v>
      </c>
      <c r="F191" s="4">
        <v>2</v>
      </c>
      <c r="G191" s="4">
        <v>8</v>
      </c>
      <c r="H191" s="4">
        <v>1979</v>
      </c>
      <c r="I191" s="2" t="s">
        <v>570</v>
      </c>
      <c r="J191" s="3" t="s">
        <v>26</v>
      </c>
      <c r="K191" s="6">
        <v>0</v>
      </c>
      <c r="L191" s="6">
        <v>0</v>
      </c>
      <c r="M191" s="6">
        <v>0</v>
      </c>
      <c r="O191" s="1" t="e">
        <f>(K191/(K191+ L191 +M191))</f>
        <v>#DIV/0!</v>
      </c>
      <c r="P191" s="1" t="e">
        <f>(L191/(K191+ L191 +M191))</f>
        <v>#DIV/0!</v>
      </c>
      <c r="Q191" s="1" t="e">
        <f>(M191/(K191+ L191 +M191))</f>
        <v>#DIV/0!</v>
      </c>
    </row>
    <row r="192" spans="1:17" ht="16" x14ac:dyDescent="0.2">
      <c r="A192" s="4">
        <v>93113</v>
      </c>
      <c r="B192" s="2" t="s">
        <v>569</v>
      </c>
      <c r="C192" s="2" t="s">
        <v>546</v>
      </c>
      <c r="D192" s="2" t="s">
        <v>73</v>
      </c>
      <c r="E192" s="2" t="s">
        <v>568</v>
      </c>
      <c r="F192" s="4">
        <v>17</v>
      </c>
      <c r="G192" s="4">
        <v>7</v>
      </c>
      <c r="H192" s="4">
        <v>1990</v>
      </c>
      <c r="I192" s="2" t="s">
        <v>567</v>
      </c>
      <c r="J192" s="3" t="s">
        <v>26</v>
      </c>
      <c r="K192" s="6">
        <v>0</v>
      </c>
      <c r="L192" s="6">
        <v>0</v>
      </c>
      <c r="M192" s="6">
        <v>6</v>
      </c>
      <c r="O192" s="1">
        <f>(K192/(K192+ L192 +M192))</f>
        <v>0</v>
      </c>
      <c r="P192" s="1">
        <f>(L192/(K192+ L192 +M192))</f>
        <v>0</v>
      </c>
      <c r="Q192" s="1">
        <f>(M192/(K192+ L192 +M192))</f>
        <v>1</v>
      </c>
    </row>
    <row r="193" spans="1:17" ht="16" x14ac:dyDescent="0.2">
      <c r="A193" s="4">
        <v>112870</v>
      </c>
      <c r="B193" s="2" t="s">
        <v>566</v>
      </c>
      <c r="C193" s="2" t="s">
        <v>546</v>
      </c>
      <c r="D193" s="2" t="s">
        <v>59</v>
      </c>
      <c r="E193" s="2" t="s">
        <v>565</v>
      </c>
      <c r="F193" s="4">
        <v>22</v>
      </c>
      <c r="G193" s="4">
        <v>6</v>
      </c>
      <c r="H193" s="4">
        <v>1993</v>
      </c>
      <c r="I193" s="2" t="s">
        <v>564</v>
      </c>
      <c r="J193" s="3" t="s">
        <v>26</v>
      </c>
      <c r="K193" s="6">
        <v>0</v>
      </c>
      <c r="L193" s="6">
        <v>16</v>
      </c>
      <c r="M193" s="6">
        <v>5</v>
      </c>
      <c r="O193" s="1">
        <f>(K193/(K193+ L193 +M193))</f>
        <v>0</v>
      </c>
      <c r="P193" s="1">
        <f>(L193/(K193+ L193 +M193))</f>
        <v>0.76190476190476186</v>
      </c>
      <c r="Q193" s="1">
        <f>(M193/(K193+ L193 +M193))</f>
        <v>0.23809523809523808</v>
      </c>
    </row>
    <row r="194" spans="1:17" ht="16" x14ac:dyDescent="0.2">
      <c r="A194" s="4">
        <v>112869</v>
      </c>
      <c r="B194" s="2" t="s">
        <v>563</v>
      </c>
      <c r="C194" s="2" t="s">
        <v>546</v>
      </c>
      <c r="D194" s="2" t="s">
        <v>59</v>
      </c>
      <c r="E194" s="2" t="s">
        <v>562</v>
      </c>
      <c r="F194" s="4">
        <v>22</v>
      </c>
      <c r="G194" s="4">
        <v>6</v>
      </c>
      <c r="H194" s="4">
        <v>1993</v>
      </c>
      <c r="I194" s="2" t="s">
        <v>561</v>
      </c>
      <c r="J194" s="3" t="s">
        <v>26</v>
      </c>
      <c r="K194" s="6">
        <v>27</v>
      </c>
      <c r="L194" s="6">
        <v>123</v>
      </c>
      <c r="M194" s="6">
        <v>5</v>
      </c>
      <c r="O194" s="1">
        <f>(K194/(K194+ L194 +M194))</f>
        <v>0.17419354838709677</v>
      </c>
      <c r="P194" s="1">
        <f>(L194/(K194+ L194 +M194))</f>
        <v>0.79354838709677422</v>
      </c>
      <c r="Q194" s="1">
        <f>(M194/(K194+ L194 +M194))</f>
        <v>3.2258064516129031E-2</v>
      </c>
    </row>
    <row r="195" spans="1:17" ht="16" x14ac:dyDescent="0.2">
      <c r="A195" s="4">
        <v>112846</v>
      </c>
      <c r="B195" s="2" t="s">
        <v>560</v>
      </c>
      <c r="C195" s="2" t="s">
        <v>546</v>
      </c>
      <c r="D195" s="2" t="s">
        <v>370</v>
      </c>
      <c r="E195" s="2" t="s">
        <v>559</v>
      </c>
      <c r="F195" s="4">
        <v>23</v>
      </c>
      <c r="G195" s="4">
        <v>6</v>
      </c>
      <c r="H195" s="4">
        <v>1993</v>
      </c>
      <c r="I195" s="2" t="s">
        <v>558</v>
      </c>
      <c r="J195" s="3" t="s">
        <v>26</v>
      </c>
      <c r="K195" s="6">
        <v>15</v>
      </c>
      <c r="L195" s="6">
        <v>57</v>
      </c>
      <c r="M195" s="6">
        <v>0</v>
      </c>
      <c r="O195" s="1">
        <f>(K195/(K195+ L195 +M195))</f>
        <v>0.20833333333333334</v>
      </c>
      <c r="P195" s="1">
        <f>(L195/(K195+ L195 +M195))</f>
        <v>0.79166666666666663</v>
      </c>
      <c r="Q195" s="1">
        <f>(M195/(K195+ L195 +M195))</f>
        <v>0</v>
      </c>
    </row>
    <row r="196" spans="1:17" ht="16" x14ac:dyDescent="0.2">
      <c r="A196" s="4">
        <v>28150</v>
      </c>
      <c r="B196" s="2" t="s">
        <v>557</v>
      </c>
      <c r="C196" s="2" t="s">
        <v>546</v>
      </c>
      <c r="D196" s="2" t="s">
        <v>315</v>
      </c>
      <c r="E196" s="2" t="s">
        <v>244</v>
      </c>
      <c r="F196" s="4">
        <v>28</v>
      </c>
      <c r="G196" s="4">
        <v>7</v>
      </c>
      <c r="H196" s="4">
        <v>1964</v>
      </c>
      <c r="I196" s="2" t="s">
        <v>556</v>
      </c>
      <c r="J196" s="3" t="s">
        <v>26</v>
      </c>
      <c r="K196" s="6">
        <v>0</v>
      </c>
      <c r="L196" s="6">
        <v>0</v>
      </c>
      <c r="M196" s="6">
        <v>0</v>
      </c>
      <c r="O196" s="1" t="e">
        <f>(K196/(K196+ L196 +M196))</f>
        <v>#DIV/0!</v>
      </c>
      <c r="P196" s="1" t="e">
        <f>(L196/(K196+ L196 +M196))</f>
        <v>#DIV/0!</v>
      </c>
      <c r="Q196" s="1" t="e">
        <f>(M196/(K196+ L196 +M196))</f>
        <v>#DIV/0!</v>
      </c>
    </row>
    <row r="197" spans="1:17" ht="16" x14ac:dyDescent="0.2">
      <c r="A197" s="4">
        <v>28151</v>
      </c>
      <c r="B197" s="2" t="s">
        <v>555</v>
      </c>
      <c r="C197" s="2" t="s">
        <v>546</v>
      </c>
      <c r="D197" s="2" t="s">
        <v>545</v>
      </c>
      <c r="E197" s="2" t="s">
        <v>244</v>
      </c>
      <c r="F197" s="4">
        <v>17</v>
      </c>
      <c r="G197" s="4">
        <v>7</v>
      </c>
      <c r="H197" s="4">
        <v>1951</v>
      </c>
      <c r="I197" s="2" t="s">
        <v>554</v>
      </c>
      <c r="J197" s="3" t="s">
        <v>26</v>
      </c>
      <c r="K197" s="6">
        <v>0</v>
      </c>
      <c r="L197" s="6">
        <v>0</v>
      </c>
      <c r="M197" s="6">
        <v>0</v>
      </c>
      <c r="O197" s="1" t="e">
        <f>(K197/(K197+ L197 +M197))</f>
        <v>#DIV/0!</v>
      </c>
      <c r="P197" s="1" t="e">
        <f>(L197/(K197+ L197 +M197))</f>
        <v>#DIV/0!</v>
      </c>
      <c r="Q197" s="1" t="e">
        <f>(M197/(K197+ L197 +M197))</f>
        <v>#DIV/0!</v>
      </c>
    </row>
    <row r="198" spans="1:17" ht="16" x14ac:dyDescent="0.2">
      <c r="A198" s="4">
        <v>177679</v>
      </c>
      <c r="B198" s="2" t="s">
        <v>553</v>
      </c>
      <c r="C198" s="2" t="s">
        <v>546</v>
      </c>
      <c r="D198" s="2" t="s">
        <v>237</v>
      </c>
      <c r="E198" s="2" t="s">
        <v>552</v>
      </c>
      <c r="F198" s="4">
        <v>15</v>
      </c>
      <c r="G198" s="4">
        <v>8</v>
      </c>
      <c r="H198" s="4">
        <v>2013</v>
      </c>
      <c r="I198" s="2" t="s">
        <v>551</v>
      </c>
      <c r="J198" s="3" t="s">
        <v>26</v>
      </c>
      <c r="K198" s="6">
        <v>0</v>
      </c>
      <c r="L198" s="6">
        <v>0</v>
      </c>
      <c r="M198" s="6">
        <v>2</v>
      </c>
      <c r="O198" s="1">
        <f>(K198/(K198+ L198 +M198))</f>
        <v>0</v>
      </c>
      <c r="P198" s="1">
        <f>(L198/(K198+ L198 +M198))</f>
        <v>0</v>
      </c>
      <c r="Q198" s="1">
        <f>(M198/(K198+ L198 +M198))</f>
        <v>1</v>
      </c>
    </row>
    <row r="199" spans="1:17" ht="16" x14ac:dyDescent="0.2">
      <c r="A199" s="4">
        <v>112871</v>
      </c>
      <c r="B199" s="2" t="s">
        <v>550</v>
      </c>
      <c r="C199" s="2" t="s">
        <v>546</v>
      </c>
      <c r="D199" s="2" t="s">
        <v>59</v>
      </c>
      <c r="E199" s="2" t="s">
        <v>549</v>
      </c>
      <c r="F199" s="4">
        <v>22</v>
      </c>
      <c r="G199" s="4">
        <v>6</v>
      </c>
      <c r="H199" s="4">
        <v>1993</v>
      </c>
      <c r="I199" s="2" t="s">
        <v>548</v>
      </c>
      <c r="J199" s="3" t="s">
        <v>26</v>
      </c>
      <c r="K199" s="6">
        <v>13</v>
      </c>
      <c r="L199" s="6">
        <v>58</v>
      </c>
      <c r="M199" s="6">
        <v>3</v>
      </c>
      <c r="O199" s="1">
        <f>(K199/(K199+ L199 +M199))</f>
        <v>0.17567567567567569</v>
      </c>
      <c r="P199" s="1">
        <f>(L199/(K199+ L199 +M199))</f>
        <v>0.78378378378378377</v>
      </c>
      <c r="Q199" s="1">
        <f>(M199/(K199+ L199 +M199))</f>
        <v>4.0540540540540543E-2</v>
      </c>
    </row>
    <row r="200" spans="1:17" ht="16" x14ac:dyDescent="0.2">
      <c r="A200" s="4">
        <v>28152</v>
      </c>
      <c r="B200" s="2" t="s">
        <v>547</v>
      </c>
      <c r="C200" s="2" t="s">
        <v>546</v>
      </c>
      <c r="D200" s="2" t="s">
        <v>545</v>
      </c>
      <c r="E200" s="2" t="s">
        <v>244</v>
      </c>
      <c r="F200" s="4">
        <v>10</v>
      </c>
      <c r="G200" s="4">
        <v>6</v>
      </c>
      <c r="H200" s="4">
        <v>1948</v>
      </c>
      <c r="I200" s="2" t="s">
        <v>544</v>
      </c>
      <c r="J200" s="3" t="s">
        <v>26</v>
      </c>
      <c r="K200" s="6">
        <v>0</v>
      </c>
      <c r="L200" s="6">
        <v>0</v>
      </c>
      <c r="M200" s="6">
        <v>0</v>
      </c>
      <c r="O200" s="1" t="e">
        <f>(K200/(K200+ L200 +M200))</f>
        <v>#DIV/0!</v>
      </c>
      <c r="P200" s="1" t="e">
        <f>(L200/(K200+ L200 +M200))</f>
        <v>#DIV/0!</v>
      </c>
      <c r="Q200" s="1" t="e">
        <f>(M200/(K200+ L200 +M200))</f>
        <v>#DIV/0!</v>
      </c>
    </row>
    <row r="201" spans="1:17" ht="16" x14ac:dyDescent="0.2">
      <c r="A201" s="4">
        <v>92439</v>
      </c>
      <c r="B201" s="2" t="s">
        <v>543</v>
      </c>
      <c r="C201" s="2" t="s">
        <v>533</v>
      </c>
      <c r="D201" s="2" t="s">
        <v>77</v>
      </c>
      <c r="E201" s="2" t="s">
        <v>542</v>
      </c>
      <c r="F201" s="4">
        <v>15</v>
      </c>
      <c r="G201" s="4">
        <v>6</v>
      </c>
      <c r="H201" s="4">
        <v>1990</v>
      </c>
      <c r="I201" s="2" t="s">
        <v>541</v>
      </c>
      <c r="J201" s="3" t="s">
        <v>26</v>
      </c>
      <c r="K201" s="6">
        <v>22</v>
      </c>
      <c r="L201" s="6">
        <v>25</v>
      </c>
      <c r="M201" s="6">
        <v>1</v>
      </c>
      <c r="O201" s="1">
        <f>(K201/(K201+ L201 +M201))</f>
        <v>0.45833333333333331</v>
      </c>
      <c r="P201" s="1">
        <f>(L201/(K201+ L201 +M201))</f>
        <v>0.52083333333333337</v>
      </c>
      <c r="Q201" s="1">
        <f>(M201/(K201+ L201 +M201))</f>
        <v>2.0833333333333332E-2</v>
      </c>
    </row>
    <row r="202" spans="1:17" ht="16" x14ac:dyDescent="0.2">
      <c r="A202" s="4">
        <v>119773</v>
      </c>
      <c r="B202" s="2" t="s">
        <v>540</v>
      </c>
      <c r="C202" s="2" t="s">
        <v>533</v>
      </c>
      <c r="D202" s="2" t="s">
        <v>59</v>
      </c>
      <c r="E202" s="2" t="s">
        <v>539</v>
      </c>
      <c r="F202" s="4">
        <v>16</v>
      </c>
      <c r="G202" s="4">
        <v>6</v>
      </c>
      <c r="H202" s="4">
        <v>1994</v>
      </c>
      <c r="I202" s="2" t="s">
        <v>538</v>
      </c>
      <c r="J202" s="3" t="s">
        <v>26</v>
      </c>
      <c r="K202" s="6">
        <v>0</v>
      </c>
      <c r="L202" s="6">
        <v>7</v>
      </c>
      <c r="M202" s="6">
        <v>1</v>
      </c>
      <c r="O202" s="1">
        <f>(K202/(K202+ L202 +M202))</f>
        <v>0</v>
      </c>
      <c r="P202" s="1">
        <f>(L202/(K202+ L202 +M202))</f>
        <v>0.875</v>
      </c>
      <c r="Q202" s="1">
        <f>(M202/(K202+ L202 +M202))</f>
        <v>0.125</v>
      </c>
    </row>
    <row r="203" spans="1:17" ht="16" x14ac:dyDescent="0.2">
      <c r="A203" s="4">
        <v>74767</v>
      </c>
      <c r="B203" s="2" t="s">
        <v>537</v>
      </c>
      <c r="C203" s="2" t="s">
        <v>533</v>
      </c>
      <c r="D203" s="2" t="s">
        <v>64</v>
      </c>
      <c r="E203" s="2" t="s">
        <v>536</v>
      </c>
      <c r="F203" s="4">
        <v>23</v>
      </c>
      <c r="G203" s="4">
        <v>6</v>
      </c>
      <c r="H203" s="4">
        <v>1987</v>
      </c>
      <c r="I203" s="2" t="s">
        <v>535</v>
      </c>
      <c r="J203" s="3" t="s">
        <v>26</v>
      </c>
      <c r="K203" s="6">
        <v>0</v>
      </c>
      <c r="L203" s="6">
        <v>0</v>
      </c>
      <c r="M203" s="6">
        <v>28</v>
      </c>
      <c r="O203" s="1">
        <f>(K203/(K203+ L203 +M203))</f>
        <v>0</v>
      </c>
      <c r="P203" s="1">
        <f>(L203/(K203+ L203 +M203))</f>
        <v>0</v>
      </c>
      <c r="Q203" s="1">
        <f>(M203/(K203+ L203 +M203))</f>
        <v>1</v>
      </c>
    </row>
    <row r="204" spans="1:17" ht="16" x14ac:dyDescent="0.2">
      <c r="A204" s="4">
        <v>177866</v>
      </c>
      <c r="B204" s="2" t="s">
        <v>534</v>
      </c>
      <c r="C204" s="2" t="s">
        <v>533</v>
      </c>
      <c r="D204" s="2" t="s">
        <v>219</v>
      </c>
      <c r="E204" s="2" t="s">
        <v>532</v>
      </c>
      <c r="F204" s="4">
        <v>1</v>
      </c>
      <c r="G204" s="4">
        <v>8</v>
      </c>
      <c r="H204" s="4">
        <v>2013</v>
      </c>
      <c r="I204" s="2" t="s">
        <v>531</v>
      </c>
      <c r="J204" s="3" t="s">
        <v>26</v>
      </c>
      <c r="K204" s="6">
        <v>0</v>
      </c>
      <c r="L204" s="6">
        <v>0</v>
      </c>
      <c r="M204" s="6">
        <v>4</v>
      </c>
      <c r="O204" s="1">
        <f>(K204/(K204+ L204 +M204))</f>
        <v>0</v>
      </c>
      <c r="P204" s="1">
        <f>(L204/(K204+ L204 +M204))</f>
        <v>0</v>
      </c>
      <c r="Q204" s="1">
        <f>(M204/(K204+ L204 +M204))</f>
        <v>1</v>
      </c>
    </row>
    <row r="205" spans="1:17" ht="16" x14ac:dyDescent="0.2">
      <c r="A205" s="4">
        <v>72442</v>
      </c>
      <c r="B205" s="2" t="s">
        <v>530</v>
      </c>
      <c r="C205" s="2" t="s">
        <v>507</v>
      </c>
      <c r="D205" s="2" t="s">
        <v>64</v>
      </c>
      <c r="E205" s="2" t="s">
        <v>529</v>
      </c>
      <c r="F205" s="4">
        <v>16</v>
      </c>
      <c r="G205" s="4">
        <v>6</v>
      </c>
      <c r="H205" s="4">
        <v>1987</v>
      </c>
      <c r="I205" s="2" t="s">
        <v>528</v>
      </c>
      <c r="J205" s="3" t="s">
        <v>26</v>
      </c>
      <c r="K205" s="6">
        <v>0</v>
      </c>
      <c r="L205" s="6">
        <v>16</v>
      </c>
      <c r="M205" s="6">
        <v>51</v>
      </c>
      <c r="O205" s="1">
        <f>(K205/(K205+ L205 +M205))</f>
        <v>0</v>
      </c>
      <c r="P205" s="1">
        <f>(L205/(K205+ L205 +M205))</f>
        <v>0.23880597014925373</v>
      </c>
      <c r="Q205" s="1">
        <f>(M205/(K205+ L205 +M205))</f>
        <v>0.76119402985074625</v>
      </c>
    </row>
    <row r="206" spans="1:17" ht="16" x14ac:dyDescent="0.2">
      <c r="A206" s="4">
        <v>127899</v>
      </c>
      <c r="B206" s="2" t="s">
        <v>527</v>
      </c>
      <c r="C206" s="2" t="s">
        <v>507</v>
      </c>
      <c r="D206" s="2" t="s">
        <v>59</v>
      </c>
      <c r="E206" s="2" t="s">
        <v>526</v>
      </c>
      <c r="F206" s="4">
        <v>21</v>
      </c>
      <c r="G206" s="4">
        <v>8</v>
      </c>
      <c r="H206" s="4">
        <v>1995</v>
      </c>
      <c r="I206" s="2" t="s">
        <v>525</v>
      </c>
      <c r="J206" s="3" t="s">
        <v>26</v>
      </c>
      <c r="K206" s="6">
        <v>0</v>
      </c>
      <c r="L206" s="6">
        <v>0</v>
      </c>
      <c r="M206" s="6">
        <v>7</v>
      </c>
      <c r="O206" s="1">
        <f>(K206/(K206+ L206 +M206))</f>
        <v>0</v>
      </c>
      <c r="P206" s="1">
        <f>(L206/(K206+ L206 +M206))</f>
        <v>0</v>
      </c>
      <c r="Q206" s="1">
        <f>(M206/(K206+ L206 +M206))</f>
        <v>1</v>
      </c>
    </row>
    <row r="207" spans="1:17" ht="16" x14ac:dyDescent="0.2">
      <c r="A207" s="4">
        <v>137651</v>
      </c>
      <c r="B207" s="2" t="s">
        <v>524</v>
      </c>
      <c r="C207" s="2" t="s">
        <v>507</v>
      </c>
      <c r="D207" s="2" t="s">
        <v>73</v>
      </c>
      <c r="E207" s="2" t="s">
        <v>523</v>
      </c>
      <c r="F207" s="4">
        <v>4</v>
      </c>
      <c r="G207" s="4">
        <v>8</v>
      </c>
      <c r="H207" s="4">
        <v>1997</v>
      </c>
      <c r="I207" s="2" t="s">
        <v>522</v>
      </c>
      <c r="J207" s="3" t="s">
        <v>26</v>
      </c>
      <c r="K207" s="6">
        <v>0</v>
      </c>
      <c r="L207" s="6">
        <v>0</v>
      </c>
      <c r="M207" s="6">
        <v>6</v>
      </c>
      <c r="O207" s="1">
        <f>(K207/(K207+ L207 +M207))</f>
        <v>0</v>
      </c>
      <c r="P207" s="1">
        <f>(L207/(K207+ L207 +M207))</f>
        <v>0</v>
      </c>
      <c r="Q207" s="1">
        <f>(M207/(K207+ L207 +M207))</f>
        <v>1</v>
      </c>
    </row>
    <row r="208" spans="1:17" ht="16" x14ac:dyDescent="0.2">
      <c r="A208" s="4">
        <v>28155</v>
      </c>
      <c r="B208" s="2" t="s">
        <v>521</v>
      </c>
      <c r="C208" s="2" t="s">
        <v>507</v>
      </c>
      <c r="D208" s="2" t="s">
        <v>309</v>
      </c>
      <c r="E208" s="2" t="s">
        <v>244</v>
      </c>
      <c r="F208" s="4">
        <v>15</v>
      </c>
      <c r="G208" s="4">
        <v>10</v>
      </c>
      <c r="H208" s="4">
        <v>1971</v>
      </c>
      <c r="I208" s="2" t="s">
        <v>506</v>
      </c>
      <c r="J208" s="3" t="s">
        <v>26</v>
      </c>
      <c r="K208" s="6">
        <v>0</v>
      </c>
      <c r="L208" s="6">
        <v>0</v>
      </c>
      <c r="M208" s="6">
        <v>15</v>
      </c>
      <c r="O208" s="1">
        <f>(K208/(K208+ L208 +M208))</f>
        <v>0</v>
      </c>
      <c r="P208" s="1">
        <f>(L208/(K208+ L208 +M208))</f>
        <v>0</v>
      </c>
      <c r="Q208" s="1">
        <f>(M208/(K208+ L208 +M208))</f>
        <v>1</v>
      </c>
    </row>
    <row r="209" spans="1:17" ht="16" x14ac:dyDescent="0.2">
      <c r="A209" s="4">
        <v>28157</v>
      </c>
      <c r="B209" s="2" t="s">
        <v>520</v>
      </c>
      <c r="C209" s="2" t="s">
        <v>507</v>
      </c>
      <c r="D209" s="2" t="s">
        <v>315</v>
      </c>
      <c r="E209" s="2" t="s">
        <v>244</v>
      </c>
      <c r="F209" s="4">
        <v>10</v>
      </c>
      <c r="G209" s="4">
        <v>6</v>
      </c>
      <c r="H209" s="4">
        <v>1964</v>
      </c>
      <c r="I209" s="2" t="s">
        <v>519</v>
      </c>
      <c r="J209" s="3" t="s">
        <v>26</v>
      </c>
      <c r="K209" s="6">
        <v>15</v>
      </c>
      <c r="L209" s="6">
        <v>33</v>
      </c>
      <c r="M209" s="6">
        <v>0</v>
      </c>
      <c r="O209" s="1">
        <f>(K209/(K209+ L209 +M209))</f>
        <v>0.3125</v>
      </c>
      <c r="P209" s="1">
        <f>(L209/(K209+ L209 +M209))</f>
        <v>0.6875</v>
      </c>
      <c r="Q209" s="1">
        <f>(M209/(K209+ L209 +M209))</f>
        <v>0</v>
      </c>
    </row>
    <row r="210" spans="1:17" ht="16" x14ac:dyDescent="0.2">
      <c r="A210" s="4">
        <v>112844</v>
      </c>
      <c r="B210" s="2" t="s">
        <v>518</v>
      </c>
      <c r="C210" s="2" t="s">
        <v>507</v>
      </c>
      <c r="D210" s="2" t="s">
        <v>370</v>
      </c>
      <c r="E210" s="2" t="s">
        <v>517</v>
      </c>
      <c r="F210" s="4">
        <v>23</v>
      </c>
      <c r="G210" s="4">
        <v>6</v>
      </c>
      <c r="H210" s="4">
        <v>1993</v>
      </c>
      <c r="I210" s="2" t="s">
        <v>516</v>
      </c>
      <c r="J210" s="3" t="s">
        <v>26</v>
      </c>
      <c r="K210" s="6">
        <v>0</v>
      </c>
      <c r="L210" s="6">
        <v>11</v>
      </c>
      <c r="M210" s="6">
        <v>32</v>
      </c>
      <c r="O210" s="1">
        <f>(K210/(K210+ L210 +M210))</f>
        <v>0</v>
      </c>
      <c r="P210" s="1">
        <f>(L210/(K210+ L210 +M210))</f>
        <v>0.2558139534883721</v>
      </c>
      <c r="Q210" s="1">
        <f>(M210/(K210+ L210 +M210))</f>
        <v>0.7441860465116279</v>
      </c>
    </row>
    <row r="211" spans="1:17" ht="16" x14ac:dyDescent="0.2">
      <c r="A211" s="4">
        <v>65119</v>
      </c>
      <c r="B211" s="2" t="s">
        <v>515</v>
      </c>
      <c r="C211" s="2" t="s">
        <v>507</v>
      </c>
      <c r="D211" s="2" t="s">
        <v>64</v>
      </c>
      <c r="E211" s="2" t="s">
        <v>514</v>
      </c>
      <c r="F211" s="4">
        <v>21</v>
      </c>
      <c r="G211" s="4">
        <v>6</v>
      </c>
      <c r="H211" s="4">
        <v>1984</v>
      </c>
      <c r="I211" s="2" t="s">
        <v>513</v>
      </c>
      <c r="J211" s="3" t="s">
        <v>26</v>
      </c>
      <c r="K211" s="6">
        <v>0</v>
      </c>
      <c r="L211" s="6">
        <v>26</v>
      </c>
      <c r="M211" s="6">
        <v>58</v>
      </c>
      <c r="O211" s="1">
        <f>(K211/(K211+ L211 +M211))</f>
        <v>0</v>
      </c>
      <c r="P211" s="1">
        <f>(L211/(K211+ L211 +M211))</f>
        <v>0.30952380952380953</v>
      </c>
      <c r="Q211" s="1">
        <f>(M211/(K211+ L211 +M211))</f>
        <v>0.69047619047619047</v>
      </c>
    </row>
    <row r="212" spans="1:17" ht="16" x14ac:dyDescent="0.2">
      <c r="A212" s="4">
        <v>132121</v>
      </c>
      <c r="B212" s="2" t="s">
        <v>512</v>
      </c>
      <c r="C212" s="2" t="s">
        <v>507</v>
      </c>
      <c r="D212" s="2" t="s">
        <v>511</v>
      </c>
      <c r="E212" s="2" t="s">
        <v>510</v>
      </c>
      <c r="F212" s="4">
        <v>25</v>
      </c>
      <c r="G212" s="4">
        <v>6</v>
      </c>
      <c r="H212" s="4">
        <v>1996</v>
      </c>
      <c r="I212" s="2" t="s">
        <v>509</v>
      </c>
      <c r="J212" s="3" t="s">
        <v>26</v>
      </c>
      <c r="K212" s="6">
        <v>15</v>
      </c>
      <c r="L212" s="6">
        <v>23</v>
      </c>
      <c r="M212" s="6">
        <v>4</v>
      </c>
      <c r="O212" s="1">
        <f>(K212/(K212+ L212 +M212))</f>
        <v>0.35714285714285715</v>
      </c>
      <c r="P212" s="1">
        <f>(L212/(K212+ L212 +M212))</f>
        <v>0.54761904761904767</v>
      </c>
      <c r="Q212" s="1">
        <f>(M212/(K212+ L212 +M212))</f>
        <v>9.5238095238095233E-2</v>
      </c>
    </row>
    <row r="213" spans="1:17" ht="16" x14ac:dyDescent="0.2">
      <c r="A213" s="4">
        <v>28153</v>
      </c>
      <c r="B213" s="2" t="s">
        <v>508</v>
      </c>
      <c r="C213" s="2" t="s">
        <v>507</v>
      </c>
      <c r="D213" s="2" t="s">
        <v>442</v>
      </c>
      <c r="E213" s="2" t="s">
        <v>244</v>
      </c>
      <c r="F213" s="4">
        <v>14</v>
      </c>
      <c r="G213" s="4">
        <v>6</v>
      </c>
      <c r="H213" s="4">
        <v>1972</v>
      </c>
      <c r="I213" s="2" t="s">
        <v>506</v>
      </c>
      <c r="J213" s="3" t="s">
        <v>26</v>
      </c>
      <c r="K213" s="6">
        <v>16</v>
      </c>
      <c r="L213" s="6">
        <v>5</v>
      </c>
      <c r="M213" s="6">
        <v>0</v>
      </c>
      <c r="O213" s="1">
        <f>(K213/(K213+ L213 +M213))</f>
        <v>0.76190476190476186</v>
      </c>
      <c r="P213" s="1">
        <f>(L213/(K213+ L213 +M213))</f>
        <v>0.23809523809523808</v>
      </c>
      <c r="Q213" s="1">
        <f>(M213/(K213+ L213 +M213))</f>
        <v>0</v>
      </c>
    </row>
    <row r="214" spans="1:17" ht="16" x14ac:dyDescent="0.2">
      <c r="A214" s="4">
        <v>78986</v>
      </c>
      <c r="B214" s="2" t="s">
        <v>505</v>
      </c>
      <c r="C214" s="2" t="s">
        <v>498</v>
      </c>
      <c r="D214" s="2" t="s">
        <v>64</v>
      </c>
      <c r="E214" s="2" t="s">
        <v>504</v>
      </c>
      <c r="F214" s="4">
        <v>19</v>
      </c>
      <c r="G214" s="4">
        <v>8</v>
      </c>
      <c r="H214" s="4">
        <v>1987</v>
      </c>
      <c r="I214" s="2" t="s">
        <v>503</v>
      </c>
      <c r="J214" s="3" t="s">
        <v>26</v>
      </c>
      <c r="K214" s="6">
        <v>0</v>
      </c>
      <c r="L214" s="6">
        <v>0</v>
      </c>
      <c r="M214" s="6">
        <v>17</v>
      </c>
      <c r="O214" s="1">
        <f>(K214/(K214+ L214 +M214))</f>
        <v>0</v>
      </c>
      <c r="P214" s="1">
        <f>(L214/(K214+ L214 +M214))</f>
        <v>0</v>
      </c>
      <c r="Q214" s="1">
        <f>(M214/(K214+ L214 +M214))</f>
        <v>1</v>
      </c>
    </row>
    <row r="215" spans="1:17" ht="16" x14ac:dyDescent="0.2">
      <c r="A215" s="4">
        <v>112874</v>
      </c>
      <c r="B215" s="2" t="s">
        <v>502</v>
      </c>
      <c r="C215" s="2" t="s">
        <v>498</v>
      </c>
      <c r="D215" s="2" t="s">
        <v>59</v>
      </c>
      <c r="E215" s="2" t="s">
        <v>501</v>
      </c>
      <c r="F215" s="4">
        <v>22</v>
      </c>
      <c r="G215" s="4">
        <v>6</v>
      </c>
      <c r="H215" s="4">
        <v>1993</v>
      </c>
      <c r="I215" s="2" t="s">
        <v>500</v>
      </c>
      <c r="J215" s="3" t="s">
        <v>26</v>
      </c>
      <c r="K215" s="6">
        <v>47</v>
      </c>
      <c r="L215" s="6">
        <v>48</v>
      </c>
      <c r="M215" s="6">
        <v>1</v>
      </c>
      <c r="O215" s="1">
        <f>(K215/(K215+ L215 +M215))</f>
        <v>0.48958333333333331</v>
      </c>
      <c r="P215" s="1">
        <f>(L215/(K215+ L215 +M215))</f>
        <v>0.5</v>
      </c>
      <c r="Q215" s="1">
        <f>(M215/(K215+ L215 +M215))</f>
        <v>1.0416666666666666E-2</v>
      </c>
    </row>
    <row r="216" spans="1:17" ht="16" x14ac:dyDescent="0.2">
      <c r="A216" s="4">
        <v>36847</v>
      </c>
      <c r="B216" s="2" t="s">
        <v>499</v>
      </c>
      <c r="C216" s="2" t="s">
        <v>498</v>
      </c>
      <c r="D216" s="2" t="s">
        <v>14</v>
      </c>
      <c r="E216" s="4">
        <v>4757</v>
      </c>
      <c r="F216" s="4">
        <v>9</v>
      </c>
      <c r="G216" s="4">
        <v>7</v>
      </c>
      <c r="H216" s="4">
        <v>1979</v>
      </c>
      <c r="I216" s="2" t="s">
        <v>497</v>
      </c>
      <c r="J216" s="3" t="s">
        <v>26</v>
      </c>
      <c r="K216" s="6">
        <v>0</v>
      </c>
      <c r="L216" s="6">
        <v>0</v>
      </c>
      <c r="M216" s="6">
        <v>65</v>
      </c>
      <c r="O216" s="1">
        <f>(K216/(K216+ L216 +M216))</f>
        <v>0</v>
      </c>
      <c r="P216" s="1">
        <f>(L216/(K216+ L216 +M216))</f>
        <v>0</v>
      </c>
      <c r="Q216" s="1">
        <f>(M216/(K216+ L216 +M216))</f>
        <v>1</v>
      </c>
    </row>
    <row r="217" spans="1:17" ht="16" x14ac:dyDescent="0.2">
      <c r="A217" s="4">
        <v>120833</v>
      </c>
      <c r="B217" s="2" t="s">
        <v>496</v>
      </c>
      <c r="C217" s="2" t="s">
        <v>495</v>
      </c>
      <c r="D217" s="2" t="s">
        <v>59</v>
      </c>
      <c r="E217" s="2" t="s">
        <v>494</v>
      </c>
      <c r="F217" s="4">
        <v>14</v>
      </c>
      <c r="G217" s="4">
        <v>8</v>
      </c>
      <c r="H217" s="4">
        <v>1994</v>
      </c>
      <c r="I217" s="2" t="s">
        <v>493</v>
      </c>
      <c r="J217" s="3" t="s">
        <v>26</v>
      </c>
      <c r="K217" s="6">
        <v>0</v>
      </c>
      <c r="L217" s="6">
        <v>0</v>
      </c>
      <c r="M217" s="6">
        <v>3</v>
      </c>
      <c r="O217" s="1">
        <f>(K217/(K217+ L217 +M217))</f>
        <v>0</v>
      </c>
      <c r="P217" s="1">
        <f>(L217/(K217+ L217 +M217))</f>
        <v>0</v>
      </c>
      <c r="Q217" s="1">
        <f>(M217/(K217+ L217 +M217))</f>
        <v>1</v>
      </c>
    </row>
    <row r="218" spans="1:17" ht="16" x14ac:dyDescent="0.2">
      <c r="A218" s="4">
        <v>188240</v>
      </c>
      <c r="B218" s="2" t="s">
        <v>492</v>
      </c>
      <c r="C218" s="2" t="s">
        <v>60</v>
      </c>
      <c r="D218" s="2" t="s">
        <v>23</v>
      </c>
      <c r="E218" s="2" t="s">
        <v>491</v>
      </c>
      <c r="F218" s="4">
        <v>27</v>
      </c>
      <c r="G218" s="4">
        <v>6</v>
      </c>
      <c r="H218" s="4">
        <v>2019</v>
      </c>
      <c r="I218" s="2" t="s">
        <v>490</v>
      </c>
      <c r="J218" s="3" t="s">
        <v>26</v>
      </c>
      <c r="K218" s="6">
        <v>0</v>
      </c>
      <c r="L218" s="6">
        <v>0</v>
      </c>
      <c r="M218" s="6">
        <v>13</v>
      </c>
      <c r="O218" s="1">
        <f>(K218/(K218+ L218 +M218))</f>
        <v>0</v>
      </c>
      <c r="P218" s="1">
        <f>(L218/(K218+ L218 +M218))</f>
        <v>0</v>
      </c>
      <c r="Q218" s="1">
        <f>(M218/(K218+ L218 +M218))</f>
        <v>1</v>
      </c>
    </row>
    <row r="219" spans="1:17" ht="16" x14ac:dyDescent="0.2">
      <c r="A219" s="4">
        <v>112845</v>
      </c>
      <c r="B219" s="2" t="s">
        <v>489</v>
      </c>
      <c r="C219" s="2" t="s">
        <v>60</v>
      </c>
      <c r="D219" s="2" t="s">
        <v>370</v>
      </c>
      <c r="E219" s="2" t="s">
        <v>488</v>
      </c>
      <c r="F219" s="4">
        <v>23</v>
      </c>
      <c r="G219" s="4">
        <v>6</v>
      </c>
      <c r="H219" s="4">
        <v>1993</v>
      </c>
      <c r="I219" s="2" t="s">
        <v>487</v>
      </c>
      <c r="J219" s="3" t="s">
        <v>26</v>
      </c>
      <c r="K219" s="6">
        <v>0</v>
      </c>
      <c r="L219" s="6">
        <v>13</v>
      </c>
      <c r="M219" s="6">
        <v>27</v>
      </c>
      <c r="O219" s="1">
        <f>(K219/(K219+ L219 +M219))</f>
        <v>0</v>
      </c>
      <c r="P219" s="1">
        <f>(L219/(K219+ L219 +M219))</f>
        <v>0.32500000000000001</v>
      </c>
      <c r="Q219" s="1">
        <f>(M219/(K219+ L219 +M219))</f>
        <v>0.67500000000000004</v>
      </c>
    </row>
    <row r="220" spans="1:17" ht="16" x14ac:dyDescent="0.2">
      <c r="A220" s="4">
        <v>98503</v>
      </c>
      <c r="B220" s="2" t="s">
        <v>486</v>
      </c>
      <c r="C220" s="2" t="s">
        <v>60</v>
      </c>
      <c r="D220" s="2" t="s">
        <v>73</v>
      </c>
      <c r="E220" s="2" t="s">
        <v>485</v>
      </c>
      <c r="F220" s="4">
        <v>30</v>
      </c>
      <c r="G220" s="4">
        <v>7</v>
      </c>
      <c r="H220" s="4">
        <v>1991</v>
      </c>
      <c r="I220" s="2" t="s">
        <v>484</v>
      </c>
      <c r="J220" s="3" t="s">
        <v>26</v>
      </c>
      <c r="K220" s="6">
        <v>0</v>
      </c>
      <c r="L220" s="6">
        <v>0</v>
      </c>
      <c r="M220" s="6">
        <v>13</v>
      </c>
      <c r="O220" s="1">
        <f>(K220/(K220+ L220 +M220))</f>
        <v>0</v>
      </c>
      <c r="P220" s="1">
        <f>(L220/(K220+ L220 +M220))</f>
        <v>0</v>
      </c>
      <c r="Q220" s="1">
        <f>(M220/(K220+ L220 +M220))</f>
        <v>1</v>
      </c>
    </row>
    <row r="221" spans="1:17" ht="16" x14ac:dyDescent="0.2">
      <c r="A221" s="4">
        <v>112592</v>
      </c>
      <c r="B221" s="2" t="s">
        <v>483</v>
      </c>
      <c r="C221" s="2" t="s">
        <v>60</v>
      </c>
      <c r="D221" s="2" t="s">
        <v>59</v>
      </c>
      <c r="E221" s="2" t="s">
        <v>482</v>
      </c>
      <c r="F221" s="4">
        <v>15</v>
      </c>
      <c r="G221" s="4">
        <v>6</v>
      </c>
      <c r="H221" s="4">
        <v>1993</v>
      </c>
      <c r="I221" s="2" t="s">
        <v>481</v>
      </c>
      <c r="J221" s="3" t="s">
        <v>26</v>
      </c>
      <c r="K221" s="6">
        <v>60</v>
      </c>
      <c r="L221" s="6">
        <v>21</v>
      </c>
      <c r="M221" s="6">
        <v>0</v>
      </c>
      <c r="O221" s="1">
        <f>(K221/(K221+ L221 +M221))</f>
        <v>0.7407407407407407</v>
      </c>
      <c r="P221" s="1">
        <f>(L221/(K221+ L221 +M221))</f>
        <v>0.25925925925925924</v>
      </c>
      <c r="Q221" s="1">
        <f>(M221/(K221+ L221 +M221))</f>
        <v>0</v>
      </c>
    </row>
    <row r="222" spans="1:17" ht="16" x14ac:dyDescent="0.2">
      <c r="A222" s="4">
        <v>28165</v>
      </c>
      <c r="B222" s="2" t="s">
        <v>480</v>
      </c>
      <c r="C222" s="2" t="s">
        <v>60</v>
      </c>
      <c r="D222" s="2" t="s">
        <v>309</v>
      </c>
      <c r="E222" s="4">
        <v>434</v>
      </c>
      <c r="F222" s="4">
        <v>2</v>
      </c>
      <c r="G222" s="4">
        <v>7</v>
      </c>
      <c r="H222" s="4">
        <v>1970</v>
      </c>
      <c r="I222" s="2" t="s">
        <v>479</v>
      </c>
      <c r="J222" s="3" t="s">
        <v>26</v>
      </c>
      <c r="K222" s="6">
        <v>0</v>
      </c>
      <c r="L222" s="6">
        <v>0</v>
      </c>
      <c r="M222" s="6">
        <v>16</v>
      </c>
      <c r="O222" s="1">
        <f>(K222/(K222+ L222 +M222))</f>
        <v>0</v>
      </c>
      <c r="P222" s="1">
        <f>(L222/(K222+ L222 +M222))</f>
        <v>0</v>
      </c>
      <c r="Q222" s="1">
        <f>(M222/(K222+ L222 +M222))</f>
        <v>1</v>
      </c>
    </row>
    <row r="223" spans="1:17" ht="16" x14ac:dyDescent="0.2">
      <c r="A223" s="4">
        <v>92438</v>
      </c>
      <c r="B223" s="2" t="s">
        <v>478</v>
      </c>
      <c r="C223" s="2" t="s">
        <v>60</v>
      </c>
      <c r="D223" s="2" t="s">
        <v>77</v>
      </c>
      <c r="E223" s="2" t="s">
        <v>477</v>
      </c>
      <c r="F223" s="4">
        <v>15</v>
      </c>
      <c r="G223" s="4">
        <v>6</v>
      </c>
      <c r="H223" s="4">
        <v>1990</v>
      </c>
      <c r="I223" s="2" t="s">
        <v>476</v>
      </c>
      <c r="J223" s="3" t="s">
        <v>26</v>
      </c>
      <c r="K223" s="6">
        <v>43</v>
      </c>
      <c r="L223" s="6">
        <v>18</v>
      </c>
      <c r="M223" s="6">
        <v>0</v>
      </c>
      <c r="O223" s="1">
        <f>(K223/(K223+ L223 +M223))</f>
        <v>0.70491803278688525</v>
      </c>
      <c r="P223" s="1">
        <f>(L223/(K223+ L223 +M223))</f>
        <v>0.29508196721311475</v>
      </c>
      <c r="Q223" s="1">
        <f>(M223/(K223+ L223 +M223))</f>
        <v>0</v>
      </c>
    </row>
    <row r="224" spans="1:17" ht="16" x14ac:dyDescent="0.2">
      <c r="A224" s="4">
        <v>92015</v>
      </c>
      <c r="B224" s="2" t="s">
        <v>475</v>
      </c>
      <c r="C224" s="2" t="s">
        <v>60</v>
      </c>
      <c r="D224" s="2" t="s">
        <v>77</v>
      </c>
      <c r="E224" s="2" t="s">
        <v>474</v>
      </c>
      <c r="F224" s="4">
        <v>22</v>
      </c>
      <c r="G224" s="4">
        <v>5</v>
      </c>
      <c r="H224" s="4">
        <v>1990</v>
      </c>
      <c r="I224" s="2" t="s">
        <v>473</v>
      </c>
      <c r="J224" s="3" t="s">
        <v>26</v>
      </c>
      <c r="K224" s="6">
        <v>125</v>
      </c>
      <c r="L224" s="6">
        <v>0</v>
      </c>
      <c r="M224" s="6">
        <v>0</v>
      </c>
      <c r="O224" s="1">
        <f>(K224/(K224+ L224 +M224))</f>
        <v>1</v>
      </c>
      <c r="P224" s="1">
        <f>(L224/(K224+ L224 +M224))</f>
        <v>0</v>
      </c>
      <c r="Q224" s="1">
        <f>(M224/(K224+ L224 +M224))</f>
        <v>0</v>
      </c>
    </row>
    <row r="225" spans="1:17" ht="16" x14ac:dyDescent="0.2">
      <c r="A225" s="4">
        <v>79001</v>
      </c>
      <c r="B225" s="2" t="s">
        <v>472</v>
      </c>
      <c r="C225" s="2" t="s">
        <v>60</v>
      </c>
      <c r="D225" s="2" t="s">
        <v>64</v>
      </c>
      <c r="E225" s="2" t="s">
        <v>471</v>
      </c>
      <c r="F225" s="4">
        <v>19</v>
      </c>
      <c r="G225" s="4">
        <v>8</v>
      </c>
      <c r="H225" s="4">
        <v>1987</v>
      </c>
      <c r="I225" s="2" t="s">
        <v>470</v>
      </c>
      <c r="J225" s="3" t="s">
        <v>26</v>
      </c>
      <c r="K225" s="6">
        <v>0</v>
      </c>
      <c r="L225" s="6">
        <v>0</v>
      </c>
      <c r="M225" s="6">
        <v>17</v>
      </c>
      <c r="O225" s="1">
        <f>(K225/(K225+ L225 +M225))</f>
        <v>0</v>
      </c>
      <c r="P225" s="1">
        <f>(L225/(K225+ L225 +M225))</f>
        <v>0</v>
      </c>
      <c r="Q225" s="1">
        <f>(M225/(K225+ L225 +M225))</f>
        <v>1</v>
      </c>
    </row>
    <row r="226" spans="1:17" ht="16" x14ac:dyDescent="0.2">
      <c r="A226" s="4">
        <v>112815</v>
      </c>
      <c r="B226" s="2" t="s">
        <v>469</v>
      </c>
      <c r="C226" s="2" t="s">
        <v>60</v>
      </c>
      <c r="D226" s="2" t="s">
        <v>370</v>
      </c>
      <c r="E226" s="2" t="s">
        <v>468</v>
      </c>
      <c r="F226" s="4">
        <v>23</v>
      </c>
      <c r="G226" s="4">
        <v>6</v>
      </c>
      <c r="H226" s="4">
        <v>1993</v>
      </c>
      <c r="I226" s="2" t="s">
        <v>403</v>
      </c>
      <c r="J226" s="3" t="s">
        <v>26</v>
      </c>
      <c r="K226" s="6">
        <v>0</v>
      </c>
      <c r="L226" s="6">
        <v>8</v>
      </c>
      <c r="M226" s="6">
        <v>17</v>
      </c>
      <c r="O226" s="1">
        <f>(K226/(K226+ L226 +M226))</f>
        <v>0</v>
      </c>
      <c r="P226" s="1">
        <f>(L226/(K226+ L226 +M226))</f>
        <v>0.32</v>
      </c>
      <c r="Q226" s="1">
        <f>(M226/(K226+ L226 +M226))</f>
        <v>0.68</v>
      </c>
    </row>
    <row r="227" spans="1:17" ht="16" x14ac:dyDescent="0.2">
      <c r="A227" s="4">
        <v>28164</v>
      </c>
      <c r="B227" s="2" t="s">
        <v>467</v>
      </c>
      <c r="C227" s="2" t="s">
        <v>60</v>
      </c>
      <c r="D227" s="2" t="s">
        <v>309</v>
      </c>
      <c r="E227" s="4">
        <v>435</v>
      </c>
      <c r="F227" s="4">
        <v>2</v>
      </c>
      <c r="G227" s="4">
        <v>7</v>
      </c>
      <c r="H227" s="4">
        <v>1970</v>
      </c>
      <c r="I227" s="2" t="s">
        <v>441</v>
      </c>
      <c r="J227" s="3" t="s">
        <v>26</v>
      </c>
      <c r="K227" s="6">
        <v>0</v>
      </c>
      <c r="L227" s="6">
        <v>0</v>
      </c>
      <c r="M227" s="6">
        <v>24</v>
      </c>
      <c r="O227" s="1">
        <f>(K227/(K227+ L227 +M227))</f>
        <v>0</v>
      </c>
      <c r="P227" s="1">
        <f>(L227/(K227+ L227 +M227))</f>
        <v>0</v>
      </c>
      <c r="Q227" s="1">
        <f>(M227/(K227+ L227 +M227))</f>
        <v>1</v>
      </c>
    </row>
    <row r="228" spans="1:17" ht="16" x14ac:dyDescent="0.2">
      <c r="A228" s="4">
        <v>92640</v>
      </c>
      <c r="B228" s="2" t="s">
        <v>466</v>
      </c>
      <c r="C228" s="2" t="s">
        <v>60</v>
      </c>
      <c r="D228" s="2" t="s">
        <v>409</v>
      </c>
      <c r="E228" s="2" t="s">
        <v>465</v>
      </c>
      <c r="F228" s="4">
        <v>19</v>
      </c>
      <c r="G228" s="4">
        <v>6</v>
      </c>
      <c r="H228" s="4">
        <v>1990</v>
      </c>
      <c r="I228" s="2" t="s">
        <v>420</v>
      </c>
      <c r="J228" s="3" t="s">
        <v>26</v>
      </c>
      <c r="K228" s="6">
        <v>15</v>
      </c>
      <c r="L228" s="6">
        <v>35</v>
      </c>
      <c r="M228" s="6">
        <v>0</v>
      </c>
      <c r="O228" s="1">
        <f>(K228/(K228+ L228 +M228))</f>
        <v>0.3</v>
      </c>
      <c r="P228" s="1">
        <f>(L228/(K228+ L228 +M228))</f>
        <v>0.7</v>
      </c>
      <c r="Q228" s="1">
        <f>(M228/(K228+ L228 +M228))</f>
        <v>0</v>
      </c>
    </row>
    <row r="229" spans="1:17" ht="16" x14ac:dyDescent="0.2">
      <c r="A229" s="4">
        <v>36850</v>
      </c>
      <c r="B229" s="2" t="s">
        <v>464</v>
      </c>
      <c r="C229" s="2" t="s">
        <v>60</v>
      </c>
      <c r="D229" s="2" t="s">
        <v>14</v>
      </c>
      <c r="E229" s="4">
        <v>4745</v>
      </c>
      <c r="F229" s="4">
        <v>5</v>
      </c>
      <c r="G229" s="4">
        <v>7</v>
      </c>
      <c r="H229" s="4">
        <v>1979</v>
      </c>
      <c r="I229" s="2" t="s">
        <v>463</v>
      </c>
      <c r="J229" s="3" t="s">
        <v>26</v>
      </c>
      <c r="K229" s="6">
        <v>0</v>
      </c>
      <c r="L229" s="6">
        <v>0</v>
      </c>
      <c r="M229" s="6">
        <v>54</v>
      </c>
      <c r="O229" s="1">
        <f>(K229/(K229+ L229 +M229))</f>
        <v>0</v>
      </c>
      <c r="P229" s="1">
        <f>(L229/(K229+ L229 +M229))</f>
        <v>0</v>
      </c>
      <c r="Q229" s="1">
        <f>(M229/(K229+ L229 +M229))</f>
        <v>1</v>
      </c>
    </row>
    <row r="230" spans="1:17" ht="16" x14ac:dyDescent="0.2">
      <c r="A230" s="4">
        <v>120624</v>
      </c>
      <c r="B230" s="2" t="s">
        <v>462</v>
      </c>
      <c r="C230" s="2" t="s">
        <v>60</v>
      </c>
      <c r="D230" s="2" t="s">
        <v>250</v>
      </c>
      <c r="E230" s="2" t="s">
        <v>461</v>
      </c>
      <c r="F230" s="4">
        <v>16</v>
      </c>
      <c r="G230" s="4">
        <v>8</v>
      </c>
      <c r="H230" s="4">
        <v>1994</v>
      </c>
      <c r="I230" s="2" t="s">
        <v>460</v>
      </c>
      <c r="J230" s="3" t="s">
        <v>26</v>
      </c>
      <c r="K230" s="6">
        <v>0</v>
      </c>
      <c r="L230" s="6">
        <v>0</v>
      </c>
      <c r="M230" s="6">
        <v>20</v>
      </c>
      <c r="O230" s="1">
        <f>(K230/(K230+ L230 +M230))</f>
        <v>0</v>
      </c>
      <c r="P230" s="1">
        <f>(L230/(K230+ L230 +M230))</f>
        <v>0</v>
      </c>
      <c r="Q230" s="1">
        <f>(M230/(K230+ L230 +M230))</f>
        <v>1</v>
      </c>
    </row>
    <row r="231" spans="1:17" ht="16" x14ac:dyDescent="0.2">
      <c r="A231" s="4">
        <v>120840</v>
      </c>
      <c r="B231" s="2" t="s">
        <v>459</v>
      </c>
      <c r="C231" s="2" t="s">
        <v>60</v>
      </c>
      <c r="D231" s="2" t="s">
        <v>73</v>
      </c>
      <c r="E231" s="2" t="s">
        <v>458</v>
      </c>
      <c r="F231" s="4">
        <v>16</v>
      </c>
      <c r="G231" s="4">
        <v>8</v>
      </c>
      <c r="H231" s="4">
        <v>1994</v>
      </c>
      <c r="I231" s="2" t="s">
        <v>457</v>
      </c>
      <c r="J231" s="3" t="s">
        <v>26</v>
      </c>
      <c r="K231" s="6">
        <v>0</v>
      </c>
      <c r="L231" s="6">
        <v>0</v>
      </c>
      <c r="M231" s="6">
        <v>3</v>
      </c>
      <c r="O231" s="1">
        <f>(K231/(K231+ L231 +M231))</f>
        <v>0</v>
      </c>
      <c r="P231" s="1">
        <f>(L231/(K231+ L231 +M231))</f>
        <v>0</v>
      </c>
      <c r="Q231" s="1">
        <f>(M231/(K231+ L231 +M231))</f>
        <v>1</v>
      </c>
    </row>
    <row r="232" spans="1:17" ht="16" x14ac:dyDescent="0.2">
      <c r="A232" s="4">
        <v>75705</v>
      </c>
      <c r="B232" s="2" t="s">
        <v>456</v>
      </c>
      <c r="C232" s="2" t="s">
        <v>60</v>
      </c>
      <c r="D232" s="2" t="s">
        <v>64</v>
      </c>
      <c r="E232" s="2" t="s">
        <v>455</v>
      </c>
      <c r="F232" s="4">
        <v>7</v>
      </c>
      <c r="G232" s="4">
        <v>7</v>
      </c>
      <c r="H232" s="4">
        <v>1987</v>
      </c>
      <c r="I232" s="2" t="s">
        <v>454</v>
      </c>
      <c r="J232" s="3" t="s">
        <v>26</v>
      </c>
      <c r="K232" s="6">
        <v>0</v>
      </c>
      <c r="L232" s="6">
        <v>2</v>
      </c>
      <c r="M232" s="6">
        <v>29</v>
      </c>
      <c r="O232" s="1">
        <f>(K232/(K232+ L232 +M232))</f>
        <v>0</v>
      </c>
      <c r="P232" s="1">
        <f>(L232/(K232+ L232 +M232))</f>
        <v>6.4516129032258063E-2</v>
      </c>
      <c r="Q232" s="1">
        <f>(M232/(K232+ L232 +M232))</f>
        <v>0.93548387096774188</v>
      </c>
    </row>
    <row r="233" spans="1:17" ht="16" x14ac:dyDescent="0.2">
      <c r="A233" s="4">
        <v>92623</v>
      </c>
      <c r="B233" s="2" t="s">
        <v>453</v>
      </c>
      <c r="C233" s="2" t="s">
        <v>60</v>
      </c>
      <c r="D233" s="2" t="s">
        <v>409</v>
      </c>
      <c r="E233" s="2" t="s">
        <v>452</v>
      </c>
      <c r="F233" s="4">
        <v>19</v>
      </c>
      <c r="G233" s="4">
        <v>6</v>
      </c>
      <c r="H233" s="4">
        <v>1990</v>
      </c>
      <c r="I233" s="2" t="s">
        <v>451</v>
      </c>
      <c r="J233" s="3" t="s">
        <v>26</v>
      </c>
      <c r="K233" s="6">
        <v>1</v>
      </c>
      <c r="L233" s="6">
        <v>46</v>
      </c>
      <c r="M233" s="6">
        <v>5</v>
      </c>
      <c r="O233" s="1">
        <f>(K233/(K233+ L233 +M233))</f>
        <v>1.9230769230769232E-2</v>
      </c>
      <c r="P233" s="1">
        <f>(L233/(K233+ L233 +M233))</f>
        <v>0.88461538461538458</v>
      </c>
      <c r="Q233" s="1">
        <f>(M233/(K233+ L233 +M233))</f>
        <v>9.6153846153846159E-2</v>
      </c>
    </row>
    <row r="234" spans="1:17" ht="16" x14ac:dyDescent="0.2">
      <c r="A234" s="4">
        <v>112593</v>
      </c>
      <c r="B234" s="2" t="s">
        <v>450</v>
      </c>
      <c r="C234" s="2" t="s">
        <v>60</v>
      </c>
      <c r="D234" s="2" t="s">
        <v>59</v>
      </c>
      <c r="E234" s="2" t="s">
        <v>449</v>
      </c>
      <c r="F234" s="4">
        <v>15</v>
      </c>
      <c r="G234" s="4">
        <v>6</v>
      </c>
      <c r="H234" s="4">
        <v>1993</v>
      </c>
      <c r="I234" s="2" t="s">
        <v>448</v>
      </c>
      <c r="J234" s="3" t="s">
        <v>26</v>
      </c>
      <c r="K234" s="6">
        <v>37</v>
      </c>
      <c r="L234" s="6">
        <v>45</v>
      </c>
      <c r="M234" s="6">
        <v>0</v>
      </c>
      <c r="O234" s="1">
        <f>(K234/(K234+ L234 +M234))</f>
        <v>0.45121951219512196</v>
      </c>
      <c r="P234" s="1">
        <f>(L234/(K234+ L234 +M234))</f>
        <v>0.54878048780487809</v>
      </c>
      <c r="Q234" s="1">
        <f>(M234/(K234+ L234 +M234))</f>
        <v>0</v>
      </c>
    </row>
    <row r="235" spans="1:17" ht="16" x14ac:dyDescent="0.2">
      <c r="A235" s="4">
        <v>158027</v>
      </c>
      <c r="B235" s="2" t="s">
        <v>447</v>
      </c>
      <c r="C235" s="2" t="s">
        <v>60</v>
      </c>
      <c r="D235" s="2" t="s">
        <v>446</v>
      </c>
      <c r="E235" s="2" t="s">
        <v>445</v>
      </c>
      <c r="F235" s="4">
        <v>5</v>
      </c>
      <c r="G235" s="4">
        <v>7</v>
      </c>
      <c r="H235" s="4">
        <v>2005</v>
      </c>
      <c r="I235" s="2" t="s">
        <v>444</v>
      </c>
      <c r="J235" s="3" t="s">
        <v>26</v>
      </c>
      <c r="K235" s="6">
        <v>0</v>
      </c>
      <c r="L235" s="6">
        <v>0</v>
      </c>
      <c r="M235" s="6">
        <v>24</v>
      </c>
      <c r="O235" s="1">
        <f>(K235/(K235+ L235 +M235))</f>
        <v>0</v>
      </c>
      <c r="P235" s="1">
        <f>(L235/(K235+ L235 +M235))</f>
        <v>0</v>
      </c>
      <c r="Q235" s="1">
        <f>(M235/(K235+ L235 +M235))</f>
        <v>1</v>
      </c>
    </row>
    <row r="236" spans="1:17" ht="16" x14ac:dyDescent="0.2">
      <c r="A236" s="4">
        <v>28168</v>
      </c>
      <c r="B236" s="2" t="s">
        <v>443</v>
      </c>
      <c r="C236" s="2" t="s">
        <v>60</v>
      </c>
      <c r="D236" s="2" t="s">
        <v>442</v>
      </c>
      <c r="E236" s="2" t="s">
        <v>244</v>
      </c>
      <c r="F236" s="4">
        <v>14</v>
      </c>
      <c r="G236" s="4">
        <v>6</v>
      </c>
      <c r="H236" s="4">
        <v>1972</v>
      </c>
      <c r="I236" s="2" t="s">
        <v>441</v>
      </c>
      <c r="J236" s="3" t="s">
        <v>26</v>
      </c>
      <c r="K236" s="6">
        <v>25</v>
      </c>
      <c r="L236" s="6">
        <v>4</v>
      </c>
      <c r="M236" s="6">
        <v>0</v>
      </c>
      <c r="O236" s="1">
        <f>(K236/(K236+ L236 +M236))</f>
        <v>0.86206896551724133</v>
      </c>
      <c r="P236" s="1">
        <f>(L236/(K236+ L236 +M236))</f>
        <v>0.13793103448275862</v>
      </c>
      <c r="Q236" s="1">
        <f>(M236/(K236+ L236 +M236))</f>
        <v>0</v>
      </c>
    </row>
    <row r="237" spans="1:17" ht="16" x14ac:dyDescent="0.2">
      <c r="A237" s="4">
        <v>36849</v>
      </c>
      <c r="B237" s="2" t="s">
        <v>440</v>
      </c>
      <c r="C237" s="2" t="s">
        <v>60</v>
      </c>
      <c r="D237" s="2" t="s">
        <v>14</v>
      </c>
      <c r="E237" s="4">
        <v>4739</v>
      </c>
      <c r="F237" s="4">
        <v>5</v>
      </c>
      <c r="G237" s="4">
        <v>6</v>
      </c>
      <c r="H237" s="4">
        <v>1979</v>
      </c>
      <c r="I237" s="2" t="s">
        <v>439</v>
      </c>
      <c r="J237" s="3" t="s">
        <v>26</v>
      </c>
      <c r="K237" s="6">
        <v>0</v>
      </c>
      <c r="L237" s="6">
        <v>0</v>
      </c>
      <c r="M237" s="6">
        <v>61</v>
      </c>
      <c r="O237" s="1">
        <f>(K237/(K237+ L237 +M237))</f>
        <v>0</v>
      </c>
      <c r="P237" s="1">
        <f>(L237/(K237+ L237 +M237))</f>
        <v>0</v>
      </c>
      <c r="Q237" s="1">
        <f>(M237/(K237+ L237 +M237))</f>
        <v>1</v>
      </c>
    </row>
    <row r="238" spans="1:17" ht="16" x14ac:dyDescent="0.2">
      <c r="A238" s="4">
        <v>140376</v>
      </c>
      <c r="B238" s="2" t="s">
        <v>438</v>
      </c>
      <c r="C238" s="2" t="s">
        <v>60</v>
      </c>
      <c r="D238" s="2" t="s">
        <v>437</v>
      </c>
      <c r="E238" s="4">
        <v>271</v>
      </c>
      <c r="F238" s="4">
        <v>15</v>
      </c>
      <c r="G238" s="4">
        <v>6</v>
      </c>
      <c r="H238" s="4">
        <v>1990</v>
      </c>
      <c r="I238" s="2" t="s">
        <v>436</v>
      </c>
      <c r="J238" s="3" t="s">
        <v>26</v>
      </c>
      <c r="K238" s="6">
        <v>73</v>
      </c>
      <c r="L238" s="6">
        <v>84</v>
      </c>
      <c r="O238" s="1">
        <f>(K238/(K238+ L238 +M238))</f>
        <v>0.46496815286624205</v>
      </c>
      <c r="P238" s="1">
        <f>(L238/(K238+ L238 +M238))</f>
        <v>0.53503184713375795</v>
      </c>
      <c r="Q238" s="1">
        <f>(M238/(K238+ L238 +M238))</f>
        <v>0</v>
      </c>
    </row>
    <row r="239" spans="1:17" ht="16" x14ac:dyDescent="0.2">
      <c r="A239" s="4">
        <v>120174</v>
      </c>
      <c r="B239" s="2" t="s">
        <v>435</v>
      </c>
      <c r="C239" s="2" t="s">
        <v>60</v>
      </c>
      <c r="D239" s="2" t="s">
        <v>250</v>
      </c>
      <c r="E239" s="2" t="s">
        <v>434</v>
      </c>
      <c r="F239" s="4">
        <v>14</v>
      </c>
      <c r="G239" s="4">
        <v>7</v>
      </c>
      <c r="H239" s="4">
        <v>1994</v>
      </c>
      <c r="I239" s="2" t="s">
        <v>433</v>
      </c>
      <c r="J239" s="3" t="s">
        <v>26</v>
      </c>
      <c r="K239" s="6">
        <v>0</v>
      </c>
      <c r="L239" s="6">
        <v>0</v>
      </c>
      <c r="M239" s="6">
        <v>11</v>
      </c>
      <c r="O239" s="1">
        <f>(K239/(K239+ L239 +M239))</f>
        <v>0</v>
      </c>
      <c r="P239" s="1">
        <f>(L239/(K239+ L239 +M239))</f>
        <v>0</v>
      </c>
      <c r="Q239" s="1">
        <f>(M239/(K239+ L239 +M239))</f>
        <v>1</v>
      </c>
    </row>
    <row r="240" spans="1:17" ht="16" x14ac:dyDescent="0.2">
      <c r="A240" s="4">
        <v>112848</v>
      </c>
      <c r="B240" s="2" t="s">
        <v>432</v>
      </c>
      <c r="C240" s="2" t="s">
        <v>60</v>
      </c>
      <c r="D240" s="2" t="s">
        <v>370</v>
      </c>
      <c r="E240" s="2" t="s">
        <v>431</v>
      </c>
      <c r="F240" s="4">
        <v>26</v>
      </c>
      <c r="G240" s="4">
        <v>6</v>
      </c>
      <c r="H240" s="4">
        <v>1993</v>
      </c>
      <c r="I240" s="2" t="s">
        <v>430</v>
      </c>
      <c r="J240" s="3" t="s">
        <v>26</v>
      </c>
      <c r="K240" s="6">
        <v>0</v>
      </c>
      <c r="L240" s="6">
        <v>6</v>
      </c>
      <c r="M240" s="6">
        <v>19</v>
      </c>
      <c r="O240" s="1">
        <f>(K240/(K240+ L240 +M240))</f>
        <v>0</v>
      </c>
      <c r="P240" s="1">
        <f>(L240/(K240+ L240 +M240))</f>
        <v>0.24</v>
      </c>
      <c r="Q240" s="1">
        <f>(M240/(K240+ L240 +M240))</f>
        <v>0.76</v>
      </c>
    </row>
    <row r="241" spans="1:17" ht="16" x14ac:dyDescent="0.2">
      <c r="A241" s="4">
        <v>112868</v>
      </c>
      <c r="B241" s="2" t="s">
        <v>429</v>
      </c>
      <c r="C241" s="2" t="s">
        <v>60</v>
      </c>
      <c r="D241" s="2" t="s">
        <v>59</v>
      </c>
      <c r="E241" s="2" t="s">
        <v>428</v>
      </c>
      <c r="F241" s="4">
        <v>22</v>
      </c>
      <c r="G241" s="4">
        <v>6</v>
      </c>
      <c r="H241" s="4">
        <v>1993</v>
      </c>
      <c r="I241" s="2" t="s">
        <v>427</v>
      </c>
      <c r="J241" s="3" t="s">
        <v>26</v>
      </c>
      <c r="K241" s="6">
        <v>0</v>
      </c>
      <c r="L241" s="6">
        <v>24</v>
      </c>
      <c r="M241" s="6">
        <v>19</v>
      </c>
      <c r="O241" s="1">
        <f>(K241/(K241+ L241 +M241))</f>
        <v>0</v>
      </c>
      <c r="P241" s="1">
        <f>(L241/(K241+ L241 +M241))</f>
        <v>0.55813953488372092</v>
      </c>
      <c r="Q241" s="1">
        <f>(M241/(K241+ L241 +M241))</f>
        <v>0.44186046511627908</v>
      </c>
    </row>
    <row r="242" spans="1:17" ht="16" x14ac:dyDescent="0.2">
      <c r="A242" s="4">
        <v>36851</v>
      </c>
      <c r="B242" s="2" t="s">
        <v>426</v>
      </c>
      <c r="C242" s="2" t="s">
        <v>60</v>
      </c>
      <c r="D242" s="2" t="s">
        <v>277</v>
      </c>
      <c r="E242" s="4">
        <v>7919</v>
      </c>
      <c r="F242" s="4">
        <v>6</v>
      </c>
      <c r="G242" s="4">
        <v>7</v>
      </c>
      <c r="H242" s="4">
        <v>1979</v>
      </c>
      <c r="I242" s="2" t="s">
        <v>425</v>
      </c>
      <c r="J242" s="3" t="s">
        <v>26</v>
      </c>
      <c r="K242" s="6">
        <v>0</v>
      </c>
      <c r="L242" s="6">
        <v>0</v>
      </c>
      <c r="M242" s="6">
        <v>49</v>
      </c>
      <c r="O242" s="1">
        <f>(K242/(K242+ L242 +M242))</f>
        <v>0</v>
      </c>
      <c r="P242" s="1">
        <f>(L242/(K242+ L242 +M242))</f>
        <v>0</v>
      </c>
      <c r="Q242" s="1">
        <f>(M242/(K242+ L242 +M242))</f>
        <v>1</v>
      </c>
    </row>
    <row r="243" spans="1:17" ht="16" x14ac:dyDescent="0.2">
      <c r="A243" s="4">
        <v>119805</v>
      </c>
      <c r="B243" s="2" t="s">
        <v>424</v>
      </c>
      <c r="C243" s="2" t="s">
        <v>60</v>
      </c>
      <c r="D243" s="2" t="s">
        <v>59</v>
      </c>
      <c r="E243" s="2" t="s">
        <v>423</v>
      </c>
      <c r="F243" s="4">
        <v>16</v>
      </c>
      <c r="G243" s="4">
        <v>6</v>
      </c>
      <c r="H243" s="4">
        <v>1994</v>
      </c>
      <c r="I243" s="2" t="s">
        <v>389</v>
      </c>
      <c r="J243" s="3" t="s">
        <v>26</v>
      </c>
      <c r="K243" s="6">
        <v>5</v>
      </c>
      <c r="L243" s="6">
        <v>20</v>
      </c>
      <c r="M243" s="6">
        <v>7</v>
      </c>
      <c r="O243" s="1">
        <f>(K243/(K243+ L243 +M243))</f>
        <v>0.15625</v>
      </c>
      <c r="P243" s="1">
        <f>(L243/(K243+ L243 +M243))</f>
        <v>0.625</v>
      </c>
      <c r="Q243" s="1">
        <f>(M243/(K243+ L243 +M243))</f>
        <v>0.21875</v>
      </c>
    </row>
    <row r="244" spans="1:17" ht="16" x14ac:dyDescent="0.2">
      <c r="A244" s="4">
        <v>74094</v>
      </c>
      <c r="B244" s="2" t="s">
        <v>422</v>
      </c>
      <c r="C244" s="2" t="s">
        <v>60</v>
      </c>
      <c r="D244" s="2" t="s">
        <v>64</v>
      </c>
      <c r="E244" s="2" t="s">
        <v>421</v>
      </c>
      <c r="F244" s="4">
        <v>8</v>
      </c>
      <c r="G244" s="4">
        <v>7</v>
      </c>
      <c r="H244" s="4">
        <v>1987</v>
      </c>
      <c r="I244" s="2" t="s">
        <v>420</v>
      </c>
      <c r="J244" s="3" t="s">
        <v>26</v>
      </c>
      <c r="K244" s="6">
        <v>0</v>
      </c>
      <c r="L244" s="6">
        <v>0</v>
      </c>
      <c r="M244" s="6">
        <v>13</v>
      </c>
      <c r="O244" s="1">
        <f>(K244/(K244+ L244 +M244))</f>
        <v>0</v>
      </c>
      <c r="P244" s="1">
        <f>(L244/(K244+ L244 +M244))</f>
        <v>0</v>
      </c>
      <c r="Q244" s="1">
        <f>(M244/(K244+ L244 +M244))</f>
        <v>1</v>
      </c>
    </row>
    <row r="245" spans="1:17" ht="16" x14ac:dyDescent="0.2">
      <c r="A245" s="4">
        <v>93931</v>
      </c>
      <c r="B245" s="2" t="s">
        <v>419</v>
      </c>
      <c r="C245" s="2" t="s">
        <v>60</v>
      </c>
      <c r="D245" s="2" t="s">
        <v>418</v>
      </c>
      <c r="E245" s="4">
        <v>3794</v>
      </c>
      <c r="F245" s="4">
        <v>1</v>
      </c>
      <c r="G245" s="4">
        <v>8</v>
      </c>
      <c r="H245" s="4">
        <v>1990</v>
      </c>
      <c r="I245" s="2" t="s">
        <v>417</v>
      </c>
      <c r="J245" s="3" t="s">
        <v>26</v>
      </c>
      <c r="K245" s="6">
        <v>0</v>
      </c>
      <c r="L245" s="6">
        <v>0</v>
      </c>
      <c r="M245" s="6">
        <v>13</v>
      </c>
      <c r="O245" s="1">
        <f>(K245/(K245+ L245 +M245))</f>
        <v>0</v>
      </c>
      <c r="P245" s="1">
        <f>(L245/(K245+ L245 +M245))</f>
        <v>0</v>
      </c>
      <c r="Q245" s="1">
        <f>(M245/(K245+ L245 +M245))</f>
        <v>1</v>
      </c>
    </row>
    <row r="246" spans="1:17" ht="16" x14ac:dyDescent="0.2">
      <c r="A246" s="4">
        <v>78987</v>
      </c>
      <c r="B246" s="2" t="s">
        <v>416</v>
      </c>
      <c r="C246" s="2" t="s">
        <v>60</v>
      </c>
      <c r="D246" s="2" t="s">
        <v>64</v>
      </c>
      <c r="E246" s="2" t="s">
        <v>415</v>
      </c>
      <c r="F246" s="4">
        <v>19</v>
      </c>
      <c r="G246" s="4">
        <v>8</v>
      </c>
      <c r="H246" s="4">
        <v>1987</v>
      </c>
      <c r="I246" s="2" t="s">
        <v>414</v>
      </c>
      <c r="J246" s="3" t="s">
        <v>26</v>
      </c>
      <c r="K246" s="6">
        <v>0</v>
      </c>
      <c r="L246" s="6">
        <v>0</v>
      </c>
      <c r="M246" s="6">
        <v>10</v>
      </c>
      <c r="O246" s="1">
        <f>(K246/(K246+ L246 +M246))</f>
        <v>0</v>
      </c>
      <c r="P246" s="1">
        <f>(L246/(K246+ L246 +M246))</f>
        <v>0</v>
      </c>
      <c r="Q246" s="1">
        <f>(M246/(K246+ L246 +M246))</f>
        <v>1</v>
      </c>
    </row>
    <row r="247" spans="1:17" ht="16" x14ac:dyDescent="0.2">
      <c r="A247" s="4">
        <v>76916</v>
      </c>
      <c r="B247" s="2" t="s">
        <v>413</v>
      </c>
      <c r="C247" s="2" t="s">
        <v>60</v>
      </c>
      <c r="D247" s="2" t="s">
        <v>64</v>
      </c>
      <c r="E247" s="2" t="s">
        <v>412</v>
      </c>
      <c r="F247" s="4">
        <v>10</v>
      </c>
      <c r="G247" s="4">
        <v>8</v>
      </c>
      <c r="H247" s="4">
        <v>1987</v>
      </c>
      <c r="I247" s="2" t="s">
        <v>411</v>
      </c>
      <c r="J247" s="3" t="s">
        <v>26</v>
      </c>
      <c r="K247" s="6">
        <v>0</v>
      </c>
      <c r="L247" s="6">
        <v>0</v>
      </c>
      <c r="M247" s="6">
        <v>11</v>
      </c>
      <c r="O247" s="1">
        <f>(K247/(K247+ L247 +M247))</f>
        <v>0</v>
      </c>
      <c r="P247" s="1">
        <f>(L247/(K247+ L247 +M247))</f>
        <v>0</v>
      </c>
      <c r="Q247" s="1">
        <f>(M247/(K247+ L247 +M247))</f>
        <v>1</v>
      </c>
    </row>
    <row r="248" spans="1:17" ht="16" x14ac:dyDescent="0.2">
      <c r="A248" s="4">
        <v>92621</v>
      </c>
      <c r="B248" s="2" t="s">
        <v>410</v>
      </c>
      <c r="C248" s="2" t="s">
        <v>60</v>
      </c>
      <c r="D248" s="2" t="s">
        <v>409</v>
      </c>
      <c r="E248" s="2" t="s">
        <v>408</v>
      </c>
      <c r="F248" s="4">
        <v>19</v>
      </c>
      <c r="G248" s="4">
        <v>6</v>
      </c>
      <c r="H248" s="4">
        <v>1990</v>
      </c>
      <c r="I248" s="2" t="s">
        <v>386</v>
      </c>
      <c r="J248" s="3" t="s">
        <v>26</v>
      </c>
      <c r="K248" s="6">
        <v>2</v>
      </c>
      <c r="L248" s="6">
        <v>46</v>
      </c>
      <c r="M248" s="6">
        <v>4</v>
      </c>
      <c r="O248" s="1">
        <f>(K248/(K248+ L248 +M248))</f>
        <v>3.8461538461538464E-2</v>
      </c>
      <c r="P248" s="1">
        <f>(L248/(K248+ L248 +M248))</f>
        <v>0.88461538461538458</v>
      </c>
      <c r="Q248" s="1">
        <f>(M248/(K248+ L248 +M248))</f>
        <v>7.6923076923076927E-2</v>
      </c>
    </row>
    <row r="249" spans="1:17" ht="16" x14ac:dyDescent="0.2">
      <c r="A249" s="4">
        <v>75702</v>
      </c>
      <c r="B249" s="2" t="s">
        <v>407</v>
      </c>
      <c r="C249" s="2" t="s">
        <v>60</v>
      </c>
      <c r="D249" s="2" t="s">
        <v>64</v>
      </c>
      <c r="E249" s="2" t="s">
        <v>406</v>
      </c>
      <c r="F249" s="4">
        <v>7</v>
      </c>
      <c r="G249" s="4">
        <v>7</v>
      </c>
      <c r="H249" s="4">
        <v>1987</v>
      </c>
      <c r="I249" s="2" t="s">
        <v>405</v>
      </c>
      <c r="J249" s="3" t="s">
        <v>26</v>
      </c>
      <c r="K249" s="6">
        <v>0</v>
      </c>
      <c r="L249" s="6">
        <v>0</v>
      </c>
      <c r="M249" s="6">
        <v>18</v>
      </c>
      <c r="O249" s="1">
        <f>(K249/(K249+ L249 +M249))</f>
        <v>0</v>
      </c>
      <c r="P249" s="1">
        <f>(L249/(K249+ L249 +M249))</f>
        <v>0</v>
      </c>
      <c r="Q249" s="1">
        <f>(M249/(K249+ L249 +M249))</f>
        <v>1</v>
      </c>
    </row>
    <row r="250" spans="1:17" ht="16" x14ac:dyDescent="0.2">
      <c r="A250" s="4">
        <v>36848</v>
      </c>
      <c r="B250" s="2" t="s">
        <v>404</v>
      </c>
      <c r="C250" s="2" t="s">
        <v>60</v>
      </c>
      <c r="D250" s="2" t="s">
        <v>14</v>
      </c>
      <c r="E250" s="4">
        <v>4750</v>
      </c>
      <c r="F250" s="4">
        <v>6</v>
      </c>
      <c r="G250" s="4">
        <v>7</v>
      </c>
      <c r="H250" s="4">
        <v>1979</v>
      </c>
      <c r="I250" s="2" t="s">
        <v>403</v>
      </c>
      <c r="J250" s="3" t="s">
        <v>26</v>
      </c>
      <c r="K250" s="6">
        <v>0</v>
      </c>
      <c r="L250" s="6">
        <v>0</v>
      </c>
      <c r="M250" s="6">
        <v>30</v>
      </c>
      <c r="O250" s="1">
        <f>(K250/(K250+ L250 +M250))</f>
        <v>0</v>
      </c>
      <c r="P250" s="1">
        <f>(L250/(K250+ L250 +M250))</f>
        <v>0</v>
      </c>
      <c r="Q250" s="1">
        <f>(M250/(K250+ L250 +M250))</f>
        <v>1</v>
      </c>
    </row>
    <row r="251" spans="1:17" ht="16" x14ac:dyDescent="0.2">
      <c r="A251" s="4">
        <v>155785</v>
      </c>
      <c r="B251" s="2" t="s">
        <v>402</v>
      </c>
      <c r="C251" s="2" t="s">
        <v>60</v>
      </c>
      <c r="D251" s="2" t="s">
        <v>335</v>
      </c>
      <c r="E251" s="4">
        <v>6</v>
      </c>
      <c r="F251" s="4">
        <v>25</v>
      </c>
      <c r="G251" s="4">
        <v>6</v>
      </c>
      <c r="H251" s="4">
        <v>2003</v>
      </c>
      <c r="I251" s="2" t="s">
        <v>401</v>
      </c>
      <c r="J251" s="3" t="s">
        <v>26</v>
      </c>
      <c r="K251" s="6">
        <v>32</v>
      </c>
      <c r="L251" s="6">
        <v>7</v>
      </c>
      <c r="M251" s="6">
        <v>0</v>
      </c>
      <c r="O251" s="1">
        <f>(K251/(K251+ L251 +M251))</f>
        <v>0.82051282051282048</v>
      </c>
      <c r="P251" s="1">
        <f>(L251/(K251+ L251 +M251))</f>
        <v>0.17948717948717949</v>
      </c>
      <c r="Q251" s="1">
        <f>(M251/(K251+ L251 +M251))</f>
        <v>0</v>
      </c>
    </row>
    <row r="252" spans="1:17" ht="16" x14ac:dyDescent="0.2">
      <c r="A252" s="4">
        <v>79006</v>
      </c>
      <c r="B252" s="2" t="s">
        <v>400</v>
      </c>
      <c r="C252" s="2" t="s">
        <v>60</v>
      </c>
      <c r="D252" s="2" t="s">
        <v>64</v>
      </c>
      <c r="E252" s="2" t="s">
        <v>399</v>
      </c>
      <c r="F252" s="4">
        <v>19</v>
      </c>
      <c r="G252" s="4">
        <v>8</v>
      </c>
      <c r="H252" s="4">
        <v>1987</v>
      </c>
      <c r="I252" s="2" t="s">
        <v>398</v>
      </c>
      <c r="J252" s="3" t="s">
        <v>26</v>
      </c>
      <c r="K252" s="6">
        <v>0</v>
      </c>
      <c r="L252" s="6">
        <v>0</v>
      </c>
      <c r="M252" s="6">
        <v>15</v>
      </c>
      <c r="O252" s="1">
        <f>(K252/(K252+ L252 +M252))</f>
        <v>0</v>
      </c>
      <c r="P252" s="1">
        <f>(L252/(K252+ L252 +M252))</f>
        <v>0</v>
      </c>
      <c r="Q252" s="1">
        <f>(M252/(K252+ L252 +M252))</f>
        <v>1</v>
      </c>
    </row>
    <row r="253" spans="1:17" ht="16" x14ac:dyDescent="0.2">
      <c r="A253" s="4">
        <v>112878</v>
      </c>
      <c r="B253" s="2" t="s">
        <v>397</v>
      </c>
      <c r="C253" s="2" t="s">
        <v>60</v>
      </c>
      <c r="D253" s="2" t="s">
        <v>59</v>
      </c>
      <c r="E253" s="2" t="s">
        <v>396</v>
      </c>
      <c r="F253" s="4">
        <v>22</v>
      </c>
      <c r="G253" s="4">
        <v>6</v>
      </c>
      <c r="H253" s="4">
        <v>1993</v>
      </c>
      <c r="I253" s="2" t="s">
        <v>395</v>
      </c>
      <c r="J253" s="3" t="s">
        <v>26</v>
      </c>
      <c r="K253" s="6">
        <v>0</v>
      </c>
      <c r="L253" s="6">
        <v>16</v>
      </c>
      <c r="M253" s="6">
        <v>38</v>
      </c>
      <c r="O253" s="1">
        <f>(K253/(K253+ L253 +M253))</f>
        <v>0</v>
      </c>
      <c r="P253" s="1">
        <f>(L253/(K253+ L253 +M253))</f>
        <v>0.29629629629629628</v>
      </c>
      <c r="Q253" s="1">
        <f>(M253/(K253+ L253 +M253))</f>
        <v>0.70370370370370372</v>
      </c>
    </row>
    <row r="254" spans="1:17" ht="16" x14ac:dyDescent="0.2">
      <c r="A254" s="4">
        <v>98504</v>
      </c>
      <c r="B254" s="2" t="s">
        <v>394</v>
      </c>
      <c r="C254" s="2" t="s">
        <v>60</v>
      </c>
      <c r="D254" s="2" t="s">
        <v>73</v>
      </c>
      <c r="E254" s="2" t="s">
        <v>393</v>
      </c>
      <c r="F254" s="4">
        <v>6</v>
      </c>
      <c r="G254" s="4">
        <v>8</v>
      </c>
      <c r="H254" s="4">
        <v>1991</v>
      </c>
      <c r="I254" s="2" t="s">
        <v>392</v>
      </c>
      <c r="J254" s="3" t="s">
        <v>26</v>
      </c>
      <c r="K254" s="6">
        <v>0</v>
      </c>
      <c r="L254" s="6">
        <v>0</v>
      </c>
      <c r="M254" s="6">
        <v>3</v>
      </c>
      <c r="O254" s="1">
        <f>(K254/(K254+ L254 +M254))</f>
        <v>0</v>
      </c>
      <c r="P254" s="1">
        <f>(L254/(K254+ L254 +M254))</f>
        <v>0</v>
      </c>
      <c r="Q254" s="1">
        <f>(M254/(K254+ L254 +M254))</f>
        <v>1</v>
      </c>
    </row>
    <row r="255" spans="1:17" ht="16" x14ac:dyDescent="0.2">
      <c r="A255" s="4">
        <v>122448</v>
      </c>
      <c r="B255" s="2" t="s">
        <v>391</v>
      </c>
      <c r="C255" s="2" t="s">
        <v>60</v>
      </c>
      <c r="D255" s="2" t="s">
        <v>59</v>
      </c>
      <c r="E255" s="2" t="s">
        <v>390</v>
      </c>
      <c r="F255" s="4">
        <v>6</v>
      </c>
      <c r="G255" s="4">
        <v>7</v>
      </c>
      <c r="H255" s="4">
        <v>1994</v>
      </c>
      <c r="I255" s="2" t="s">
        <v>389</v>
      </c>
      <c r="J255" s="3" t="s">
        <v>26</v>
      </c>
      <c r="K255" s="6">
        <v>0</v>
      </c>
      <c r="L255" s="6">
        <v>2</v>
      </c>
      <c r="M255" s="6">
        <v>16</v>
      </c>
      <c r="O255" s="1">
        <f>(K255/(K255+ L255 +M255))</f>
        <v>0</v>
      </c>
      <c r="P255" s="1">
        <f>(L255/(K255+ L255 +M255))</f>
        <v>0.1111111111111111</v>
      </c>
      <c r="Q255" s="1">
        <f>(M255/(K255+ L255 +M255))</f>
        <v>0.88888888888888884</v>
      </c>
    </row>
    <row r="256" spans="1:17" ht="16" x14ac:dyDescent="0.2">
      <c r="A256" s="4">
        <v>74189</v>
      </c>
      <c r="B256" s="2" t="s">
        <v>388</v>
      </c>
      <c r="C256" s="2" t="s">
        <v>60</v>
      </c>
      <c r="D256" s="2" t="s">
        <v>64</v>
      </c>
      <c r="E256" s="2" t="s">
        <v>387</v>
      </c>
      <c r="F256" s="4">
        <v>8</v>
      </c>
      <c r="G256" s="4">
        <v>7</v>
      </c>
      <c r="H256" s="4">
        <v>1987</v>
      </c>
      <c r="I256" s="2" t="s">
        <v>386</v>
      </c>
      <c r="J256" s="3" t="s">
        <v>26</v>
      </c>
      <c r="K256" s="6">
        <v>0</v>
      </c>
      <c r="L256" s="6">
        <v>0</v>
      </c>
      <c r="M256" s="6">
        <v>7</v>
      </c>
      <c r="O256" s="1">
        <f>(K256/(K256+ L256 +M256))</f>
        <v>0</v>
      </c>
      <c r="P256" s="1">
        <f>(L256/(K256+ L256 +M256))</f>
        <v>0</v>
      </c>
      <c r="Q256" s="1">
        <f>(M256/(K256+ L256 +M256))</f>
        <v>1</v>
      </c>
    </row>
    <row r="257" spans="1:17" ht="16" x14ac:dyDescent="0.2">
      <c r="A257" s="4">
        <v>78755</v>
      </c>
      <c r="B257" s="2" t="s">
        <v>385</v>
      </c>
      <c r="C257" s="2" t="s">
        <v>60</v>
      </c>
      <c r="D257" s="2" t="s">
        <v>64</v>
      </c>
      <c r="E257" s="2" t="s">
        <v>384</v>
      </c>
      <c r="F257" s="4">
        <v>23</v>
      </c>
      <c r="G257" s="4">
        <v>6</v>
      </c>
      <c r="H257" s="4">
        <v>1987</v>
      </c>
      <c r="I257" s="2" t="s">
        <v>383</v>
      </c>
      <c r="J257" s="3" t="s">
        <v>26</v>
      </c>
      <c r="K257" s="6">
        <v>18</v>
      </c>
      <c r="L257" s="6">
        <v>37</v>
      </c>
      <c r="M257" s="6">
        <v>18</v>
      </c>
      <c r="O257" s="1">
        <f>(K257/(K257+ L257 +M257))</f>
        <v>0.24657534246575341</v>
      </c>
      <c r="P257" s="1">
        <f>(L257/(K257+ L257 +M257))</f>
        <v>0.50684931506849318</v>
      </c>
      <c r="Q257" s="1">
        <f>(M257/(K257+ L257 +M257))</f>
        <v>0.24657534246575341</v>
      </c>
    </row>
    <row r="258" spans="1:17" ht="16" x14ac:dyDescent="0.2">
      <c r="A258" s="4">
        <v>138173</v>
      </c>
      <c r="B258" s="2" t="s">
        <v>382</v>
      </c>
      <c r="C258" s="2" t="s">
        <v>371</v>
      </c>
      <c r="D258" s="2" t="s">
        <v>381</v>
      </c>
      <c r="E258" s="2" t="s">
        <v>380</v>
      </c>
      <c r="F258" s="4">
        <v>6</v>
      </c>
      <c r="G258" s="4">
        <v>8</v>
      </c>
      <c r="H258" s="4">
        <v>1997</v>
      </c>
      <c r="I258" s="2" t="s">
        <v>379</v>
      </c>
      <c r="J258" s="3" t="s">
        <v>26</v>
      </c>
      <c r="K258" s="6">
        <v>0</v>
      </c>
      <c r="L258" s="6">
        <v>0</v>
      </c>
      <c r="M258" s="6">
        <v>13</v>
      </c>
      <c r="O258" s="1">
        <f>(K258/(K258+ L258 +M258))</f>
        <v>0</v>
      </c>
      <c r="P258" s="1">
        <f>(L258/(K258+ L258 +M258))</f>
        <v>0</v>
      </c>
      <c r="Q258" s="1">
        <f>(M258/(K258+ L258 +M258))</f>
        <v>1</v>
      </c>
    </row>
    <row r="259" spans="1:17" ht="16" x14ac:dyDescent="0.2">
      <c r="A259" s="4">
        <v>65114</v>
      </c>
      <c r="B259" s="2" t="s">
        <v>378</v>
      </c>
      <c r="C259" s="2" t="s">
        <v>371</v>
      </c>
      <c r="D259" s="2" t="s">
        <v>377</v>
      </c>
      <c r="E259" s="2" t="s">
        <v>244</v>
      </c>
      <c r="F259" s="4">
        <v>28</v>
      </c>
      <c r="G259" s="4">
        <v>6</v>
      </c>
      <c r="H259" s="4">
        <v>1984</v>
      </c>
      <c r="I259" s="2" t="s">
        <v>376</v>
      </c>
      <c r="J259" s="3" t="s">
        <v>26</v>
      </c>
      <c r="K259" s="6">
        <v>3</v>
      </c>
      <c r="L259" s="6">
        <v>12</v>
      </c>
      <c r="M259" s="6">
        <v>32</v>
      </c>
      <c r="O259" s="1">
        <f>(K259/(K259+ L259 +M259))</f>
        <v>6.3829787234042548E-2</v>
      </c>
      <c r="P259" s="1">
        <f>(L259/(K259+ L259 +M259))</f>
        <v>0.25531914893617019</v>
      </c>
      <c r="Q259" s="1">
        <f>(M259/(K259+ L259 +M259))</f>
        <v>0.68085106382978722</v>
      </c>
    </row>
    <row r="260" spans="1:17" ht="16" x14ac:dyDescent="0.2">
      <c r="A260" s="4">
        <v>112754</v>
      </c>
      <c r="B260" s="2" t="s">
        <v>375</v>
      </c>
      <c r="C260" s="2" t="s">
        <v>371</v>
      </c>
      <c r="D260" s="2" t="s">
        <v>370</v>
      </c>
      <c r="E260" s="2" t="s">
        <v>374</v>
      </c>
      <c r="F260" s="4">
        <v>16</v>
      </c>
      <c r="G260" s="4">
        <v>6</v>
      </c>
      <c r="H260" s="4">
        <v>1993</v>
      </c>
      <c r="I260" s="2" t="s">
        <v>373</v>
      </c>
      <c r="J260" s="3" t="s">
        <v>26</v>
      </c>
      <c r="K260" s="6">
        <v>6</v>
      </c>
      <c r="L260" s="6">
        <v>24</v>
      </c>
      <c r="M260" s="6">
        <v>4</v>
      </c>
      <c r="O260" s="1">
        <f>(K260/(K260+ L260 +M260))</f>
        <v>0.17647058823529413</v>
      </c>
      <c r="P260" s="1">
        <f>(L260/(K260+ L260 +M260))</f>
        <v>0.70588235294117652</v>
      </c>
      <c r="Q260" s="1">
        <f>(M260/(K260+ L260 +M260))</f>
        <v>0.11764705882352941</v>
      </c>
    </row>
    <row r="261" spans="1:17" ht="16" x14ac:dyDescent="0.2">
      <c r="A261" s="4">
        <v>112730</v>
      </c>
      <c r="B261" s="2" t="s">
        <v>372</v>
      </c>
      <c r="C261" s="2" t="s">
        <v>371</v>
      </c>
      <c r="D261" s="2" t="s">
        <v>370</v>
      </c>
      <c r="E261" s="2" t="s">
        <v>369</v>
      </c>
      <c r="F261" s="4">
        <v>16</v>
      </c>
      <c r="G261" s="4">
        <v>6</v>
      </c>
      <c r="H261" s="4">
        <v>1993</v>
      </c>
      <c r="I261" s="2" t="s">
        <v>368</v>
      </c>
      <c r="J261" s="3" t="s">
        <v>26</v>
      </c>
      <c r="K261" s="6">
        <v>16</v>
      </c>
      <c r="L261" s="6">
        <v>39</v>
      </c>
      <c r="M261" s="6">
        <v>2</v>
      </c>
      <c r="O261" s="1">
        <f>(K261/(K261+ L261 +M261))</f>
        <v>0.2807017543859649</v>
      </c>
      <c r="P261" s="1">
        <f>(L261/(K261+ L261 +M261))</f>
        <v>0.68421052631578949</v>
      </c>
      <c r="Q261" s="1">
        <f>(M261/(K261+ L261 +M261))</f>
        <v>3.5087719298245612E-2</v>
      </c>
    </row>
    <row r="262" spans="1:17" ht="16" x14ac:dyDescent="0.2">
      <c r="A262" s="4">
        <v>188464</v>
      </c>
      <c r="B262" s="2" t="s">
        <v>367</v>
      </c>
      <c r="C262" s="2" t="s">
        <v>339</v>
      </c>
      <c r="D262" s="2" t="s">
        <v>8</v>
      </c>
      <c r="E262" s="2" t="s">
        <v>366</v>
      </c>
      <c r="F262" s="4">
        <v>20</v>
      </c>
      <c r="G262" s="4">
        <v>6</v>
      </c>
      <c r="H262" s="4">
        <v>2020</v>
      </c>
      <c r="I262" s="2" t="s">
        <v>365</v>
      </c>
      <c r="J262" s="3" t="s">
        <v>26</v>
      </c>
      <c r="K262" s="2">
        <v>73</v>
      </c>
      <c r="L262" s="2">
        <v>38</v>
      </c>
      <c r="M262" s="2">
        <v>0</v>
      </c>
      <c r="N262" s="2"/>
      <c r="O262" s="1">
        <f>(K262/(K262+ L262 +M262))</f>
        <v>0.65765765765765771</v>
      </c>
      <c r="P262" s="1">
        <f>(L262/(K262+ L262 +M262))</f>
        <v>0.34234234234234234</v>
      </c>
      <c r="Q262" s="1">
        <f>(M262/(K262+ L262 +M262))</f>
        <v>0</v>
      </c>
    </row>
    <row r="263" spans="1:17" ht="16" x14ac:dyDescent="0.2">
      <c r="A263" s="4">
        <v>132267</v>
      </c>
      <c r="B263" s="2" t="s">
        <v>364</v>
      </c>
      <c r="C263" s="2" t="s">
        <v>339</v>
      </c>
      <c r="D263" s="2" t="s">
        <v>73</v>
      </c>
      <c r="E263" s="2" t="s">
        <v>363</v>
      </c>
      <c r="F263" s="4">
        <v>25</v>
      </c>
      <c r="G263" s="4">
        <v>6</v>
      </c>
      <c r="H263" s="4">
        <v>1996</v>
      </c>
      <c r="I263" s="2" t="s">
        <v>362</v>
      </c>
      <c r="J263" s="3" t="s">
        <v>26</v>
      </c>
      <c r="K263" s="2">
        <v>42</v>
      </c>
      <c r="L263" s="2">
        <v>9</v>
      </c>
      <c r="M263" s="2">
        <v>0</v>
      </c>
      <c r="N263" s="2"/>
      <c r="O263" s="1">
        <f>(K263/(K263+ L263 +M263))</f>
        <v>0.82352941176470584</v>
      </c>
      <c r="P263" s="1">
        <f>(L263/(K263+ L263 +M263))</f>
        <v>0.17647058823529413</v>
      </c>
      <c r="Q263" s="1">
        <f>(M263/(K263+ L263 +M263))</f>
        <v>0</v>
      </c>
    </row>
    <row r="264" spans="1:17" ht="16" x14ac:dyDescent="0.2">
      <c r="A264" s="4">
        <v>132122</v>
      </c>
      <c r="B264" s="2" t="s">
        <v>361</v>
      </c>
      <c r="C264" s="2" t="s">
        <v>339</v>
      </c>
      <c r="D264" s="2" t="s">
        <v>73</v>
      </c>
      <c r="E264" s="2" t="s">
        <v>360</v>
      </c>
      <c r="F264" s="4">
        <v>25</v>
      </c>
      <c r="G264" s="4">
        <v>6</v>
      </c>
      <c r="H264" s="4">
        <v>1996</v>
      </c>
      <c r="I264" s="2" t="s">
        <v>359</v>
      </c>
      <c r="J264" s="3" t="s">
        <v>26</v>
      </c>
      <c r="K264" s="2">
        <v>25</v>
      </c>
      <c r="L264" s="2">
        <v>34</v>
      </c>
      <c r="M264" s="2"/>
      <c r="N264" s="2"/>
      <c r="O264" s="1">
        <f>(K264/(K264+ L264 +M264))</f>
        <v>0.42372881355932202</v>
      </c>
      <c r="P264" s="1">
        <f>(L264/(K264+ L264 +M264))</f>
        <v>0.57627118644067798</v>
      </c>
      <c r="Q264" s="1">
        <f>(M264/(K264+ L264 +M264))</f>
        <v>0</v>
      </c>
    </row>
    <row r="265" spans="1:17" ht="16" x14ac:dyDescent="0.2">
      <c r="A265" s="4">
        <v>66481</v>
      </c>
      <c r="B265" s="2" t="s">
        <v>358</v>
      </c>
      <c r="C265" s="2" t="s">
        <v>339</v>
      </c>
      <c r="D265" s="2" t="s">
        <v>64</v>
      </c>
      <c r="E265" s="2" t="s">
        <v>357</v>
      </c>
      <c r="F265" s="4">
        <v>21</v>
      </c>
      <c r="G265" s="4">
        <v>6</v>
      </c>
      <c r="H265" s="4">
        <v>1984</v>
      </c>
      <c r="I265" s="2" t="s">
        <v>356</v>
      </c>
      <c r="J265" s="3" t="s">
        <v>26</v>
      </c>
      <c r="K265" s="2">
        <v>7</v>
      </c>
      <c r="L265" s="2">
        <v>52</v>
      </c>
      <c r="M265" s="2">
        <v>7</v>
      </c>
      <c r="N265" s="2"/>
      <c r="O265" s="1">
        <f>(K265/(K265+ L265 +M265))</f>
        <v>0.10606060606060606</v>
      </c>
      <c r="P265" s="1">
        <f>(L265/(K265+ L265 +M265))</f>
        <v>0.78787878787878785</v>
      </c>
      <c r="Q265" s="1">
        <f>(M265/(K265+ L265 +M265))</f>
        <v>0.10606060606060606</v>
      </c>
    </row>
    <row r="266" spans="1:17" ht="16" x14ac:dyDescent="0.2">
      <c r="A266" s="4">
        <v>155777</v>
      </c>
      <c r="B266" s="2" t="s">
        <v>355</v>
      </c>
      <c r="C266" s="2" t="s">
        <v>339</v>
      </c>
      <c r="D266" s="2" t="s">
        <v>335</v>
      </c>
      <c r="E266" s="4">
        <v>12</v>
      </c>
      <c r="F266" s="4">
        <v>25</v>
      </c>
      <c r="G266" s="4">
        <v>6</v>
      </c>
      <c r="H266" s="4">
        <v>2003</v>
      </c>
      <c r="I266" s="2" t="s">
        <v>354</v>
      </c>
      <c r="J266" s="3" t="s">
        <v>26</v>
      </c>
      <c r="K266" s="2">
        <v>12</v>
      </c>
      <c r="L266" s="2">
        <v>24</v>
      </c>
      <c r="M266" s="2">
        <v>0</v>
      </c>
      <c r="N266" s="2"/>
      <c r="O266" s="1">
        <f>(K266/(K266+ L266 +M266))</f>
        <v>0.33333333333333331</v>
      </c>
      <c r="P266" s="1">
        <f>(L266/(K266+ L266 +M266))</f>
        <v>0.66666666666666663</v>
      </c>
      <c r="Q266" s="1">
        <f>(M266/(K266+ L266 +M266))</f>
        <v>0</v>
      </c>
    </row>
    <row r="267" spans="1:17" ht="16" x14ac:dyDescent="0.2">
      <c r="A267" s="4">
        <v>183462</v>
      </c>
      <c r="B267" s="2" t="s">
        <v>353</v>
      </c>
      <c r="C267" s="2" t="s">
        <v>339</v>
      </c>
      <c r="D267" s="2" t="s">
        <v>352</v>
      </c>
      <c r="E267" s="2" t="s">
        <v>351</v>
      </c>
      <c r="F267" s="4">
        <v>13</v>
      </c>
      <c r="G267" s="4">
        <v>6</v>
      </c>
      <c r="H267" s="4">
        <v>2016</v>
      </c>
      <c r="I267" s="2" t="s">
        <v>350</v>
      </c>
      <c r="J267" s="3" t="s">
        <v>26</v>
      </c>
      <c r="K267" s="2">
        <v>16</v>
      </c>
      <c r="L267" s="2">
        <v>13</v>
      </c>
      <c r="M267" s="2">
        <v>0</v>
      </c>
      <c r="N267" s="2"/>
      <c r="O267" s="1">
        <f>(K267/(K267+ L267 +M267))</f>
        <v>0.55172413793103448</v>
      </c>
      <c r="P267" s="1">
        <f>(L267/(K267+ L267 +M267))</f>
        <v>0.44827586206896552</v>
      </c>
      <c r="Q267" s="1">
        <f>(M267/(K267+ L267 +M267))</f>
        <v>0</v>
      </c>
    </row>
    <row r="268" spans="1:17" ht="16" x14ac:dyDescent="0.2">
      <c r="A268" s="4">
        <v>152195</v>
      </c>
      <c r="B268" s="2" t="s">
        <v>349</v>
      </c>
      <c r="C268" s="2" t="s">
        <v>339</v>
      </c>
      <c r="D268" s="2" t="s">
        <v>73</v>
      </c>
      <c r="E268" s="2" t="s">
        <v>348</v>
      </c>
      <c r="F268" s="4">
        <v>19</v>
      </c>
      <c r="G268" s="4">
        <v>6</v>
      </c>
      <c r="H268" s="4">
        <v>2001</v>
      </c>
      <c r="I268" s="2" t="s">
        <v>347</v>
      </c>
      <c r="J268" s="3" t="s">
        <v>26</v>
      </c>
      <c r="K268" s="2">
        <v>6</v>
      </c>
      <c r="L268" s="2">
        <v>12</v>
      </c>
      <c r="M268" s="2">
        <v>10</v>
      </c>
      <c r="N268" s="2"/>
      <c r="O268" s="1">
        <f>(K268/(K268+ L268 +M268))</f>
        <v>0.21428571428571427</v>
      </c>
      <c r="P268" s="1">
        <f>(L268/(K268+ L268 +M268))</f>
        <v>0.42857142857142855</v>
      </c>
      <c r="Q268" s="1">
        <f>(M268/(K268+ L268 +M268))</f>
        <v>0.35714285714285715</v>
      </c>
    </row>
    <row r="269" spans="1:17" ht="16" x14ac:dyDescent="0.2">
      <c r="A269" s="4">
        <v>132119</v>
      </c>
      <c r="B269" s="2" t="s">
        <v>346</v>
      </c>
      <c r="C269" s="2" t="s">
        <v>339</v>
      </c>
      <c r="D269" s="2" t="s">
        <v>73</v>
      </c>
      <c r="E269" s="2" t="s">
        <v>345</v>
      </c>
      <c r="F269" s="4">
        <v>25</v>
      </c>
      <c r="G269" s="4">
        <v>6</v>
      </c>
      <c r="H269" s="4">
        <v>1996</v>
      </c>
      <c r="I269" s="2" t="s">
        <v>344</v>
      </c>
      <c r="J269" s="3" t="s">
        <v>26</v>
      </c>
      <c r="K269" s="2">
        <v>24</v>
      </c>
      <c r="L269" s="2">
        <v>10</v>
      </c>
      <c r="M269" s="2">
        <v>0</v>
      </c>
      <c r="N269" s="2"/>
      <c r="O269" s="1">
        <f>(K269/(K269+ L269 +M269))</f>
        <v>0.70588235294117652</v>
      </c>
      <c r="P269" s="1">
        <f>(L269/(K269+ L269 +M269))</f>
        <v>0.29411764705882354</v>
      </c>
      <c r="Q269" s="1">
        <f>(M269/(K269+ L269 +M269))</f>
        <v>0</v>
      </c>
    </row>
    <row r="270" spans="1:17" ht="16" x14ac:dyDescent="0.2">
      <c r="A270" s="4">
        <v>132211</v>
      </c>
      <c r="B270" s="2" t="s">
        <v>343</v>
      </c>
      <c r="C270" s="2" t="s">
        <v>339</v>
      </c>
      <c r="D270" s="2" t="s">
        <v>73</v>
      </c>
      <c r="E270" s="2" t="s">
        <v>342</v>
      </c>
      <c r="F270" s="4">
        <v>25</v>
      </c>
      <c r="G270" s="4">
        <v>6</v>
      </c>
      <c r="H270" s="4">
        <v>1996</v>
      </c>
      <c r="I270" s="2" t="s">
        <v>341</v>
      </c>
      <c r="J270" s="3" t="s">
        <v>26</v>
      </c>
      <c r="K270" s="2">
        <v>26</v>
      </c>
      <c r="L270" s="2">
        <v>24</v>
      </c>
      <c r="M270" s="2">
        <v>1</v>
      </c>
      <c r="N270" s="2"/>
      <c r="O270" s="1">
        <f>(K270/(K270+ L270 +M270))</f>
        <v>0.50980392156862742</v>
      </c>
      <c r="P270" s="1">
        <f>(L270/(K270+ L270 +M270))</f>
        <v>0.47058823529411764</v>
      </c>
      <c r="Q270" s="1">
        <f>(M270/(K270+ L270 +M270))</f>
        <v>1.9607843137254902E-2</v>
      </c>
    </row>
    <row r="271" spans="1:17" ht="16" x14ac:dyDescent="0.2">
      <c r="A271" s="4">
        <v>132120</v>
      </c>
      <c r="B271" s="2" t="s">
        <v>340</v>
      </c>
      <c r="C271" s="2" t="s">
        <v>339</v>
      </c>
      <c r="D271" s="2" t="s">
        <v>73</v>
      </c>
      <c r="E271" s="2" t="s">
        <v>338</v>
      </c>
      <c r="F271" s="4">
        <v>25</v>
      </c>
      <c r="G271" s="4">
        <v>6</v>
      </c>
      <c r="H271" s="4">
        <v>1996</v>
      </c>
      <c r="I271" s="2" t="s">
        <v>337</v>
      </c>
      <c r="J271" s="3" t="s">
        <v>26</v>
      </c>
      <c r="K271" s="2">
        <v>17</v>
      </c>
      <c r="L271" s="2">
        <v>13</v>
      </c>
      <c r="M271" s="2">
        <v>0</v>
      </c>
      <c r="N271" s="2"/>
      <c r="O271" s="1">
        <f>(K271/(K271+ L271 +M271))</f>
        <v>0.56666666666666665</v>
      </c>
      <c r="P271" s="1">
        <f>(L271/(K271+ L271 +M271))</f>
        <v>0.43333333333333335</v>
      </c>
      <c r="Q271" s="1">
        <f>(M271/(K271+ L271 +M271))</f>
        <v>0</v>
      </c>
    </row>
    <row r="272" spans="1:17" ht="16" x14ac:dyDescent="0.2">
      <c r="A272" s="4">
        <v>155783</v>
      </c>
      <c r="B272" s="2" t="s">
        <v>336</v>
      </c>
      <c r="C272" s="2" t="s">
        <v>82</v>
      </c>
      <c r="D272" s="2" t="s">
        <v>335</v>
      </c>
      <c r="E272" s="4">
        <v>8</v>
      </c>
      <c r="F272" s="4">
        <v>11</v>
      </c>
      <c r="G272" s="4">
        <v>7</v>
      </c>
      <c r="H272" s="4">
        <v>2003</v>
      </c>
      <c r="I272" s="2" t="s">
        <v>334</v>
      </c>
      <c r="J272" s="3" t="s">
        <v>26</v>
      </c>
      <c r="K272" s="6">
        <v>7</v>
      </c>
      <c r="L272" s="6">
        <v>37</v>
      </c>
      <c r="M272" s="6">
        <v>0</v>
      </c>
      <c r="O272" s="1">
        <f>(K272/(K272+ L272 +M272))</f>
        <v>0.15909090909090909</v>
      </c>
      <c r="P272" s="1">
        <f>(L272/(K272+ L272 +M272))</f>
        <v>0.84090909090909094</v>
      </c>
      <c r="Q272" s="1">
        <f>(M272/(K272+ L272 +M272))</f>
        <v>0</v>
      </c>
    </row>
    <row r="273" spans="1:17" ht="16" x14ac:dyDescent="0.2">
      <c r="A273" s="4">
        <v>95899</v>
      </c>
      <c r="B273" s="2" t="s">
        <v>333</v>
      </c>
      <c r="C273" s="2" t="s">
        <v>82</v>
      </c>
      <c r="D273" s="2" t="s">
        <v>227</v>
      </c>
      <c r="E273" s="4">
        <v>4027</v>
      </c>
      <c r="F273" s="4">
        <v>29</v>
      </c>
      <c r="G273" s="4">
        <v>8</v>
      </c>
      <c r="H273" s="4">
        <v>1990</v>
      </c>
      <c r="I273" s="2" t="s">
        <v>332</v>
      </c>
      <c r="J273" s="3" t="s">
        <v>26</v>
      </c>
      <c r="K273" s="6">
        <v>0</v>
      </c>
      <c r="L273" s="6">
        <v>0</v>
      </c>
      <c r="M273" s="6">
        <v>10</v>
      </c>
      <c r="O273" s="1">
        <f>(K273/(K273+ L273 +M273))</f>
        <v>0</v>
      </c>
      <c r="P273" s="1">
        <f>(L273/(K273+ L273 +M273))</f>
        <v>0</v>
      </c>
      <c r="Q273" s="1">
        <f>(M273/(K273+ L273 +M273))</f>
        <v>1</v>
      </c>
    </row>
    <row r="274" spans="1:17" ht="16" x14ac:dyDescent="0.2">
      <c r="A274" s="4">
        <v>28387</v>
      </c>
      <c r="B274" s="2" t="s">
        <v>331</v>
      </c>
      <c r="C274" s="2" t="s">
        <v>82</v>
      </c>
      <c r="D274" s="2" t="s">
        <v>309</v>
      </c>
      <c r="E274" s="2" t="s">
        <v>244</v>
      </c>
      <c r="F274" s="4">
        <v>14</v>
      </c>
      <c r="G274" s="4">
        <v>10</v>
      </c>
      <c r="H274" s="4">
        <v>1971</v>
      </c>
      <c r="I274" s="2" t="s">
        <v>330</v>
      </c>
      <c r="J274" s="3" t="s">
        <v>26</v>
      </c>
      <c r="K274" s="6">
        <v>0</v>
      </c>
      <c r="L274" s="6">
        <v>0</v>
      </c>
      <c r="M274" s="6">
        <v>3</v>
      </c>
      <c r="O274" s="1">
        <f>(K274/(K274+ L274 +M274))</f>
        <v>0</v>
      </c>
      <c r="P274" s="1">
        <f>(L274/(K274+ L274 +M274))</f>
        <v>0</v>
      </c>
      <c r="Q274" s="1">
        <f>(M274/(K274+ L274 +M274))</f>
        <v>1</v>
      </c>
    </row>
    <row r="275" spans="1:17" ht="16" x14ac:dyDescent="0.2">
      <c r="A275" s="4">
        <v>122219</v>
      </c>
      <c r="B275" s="2" t="s">
        <v>329</v>
      </c>
      <c r="C275" s="2" t="s">
        <v>82</v>
      </c>
      <c r="D275" s="2" t="s">
        <v>59</v>
      </c>
      <c r="E275" s="2" t="s">
        <v>328</v>
      </c>
      <c r="F275" s="4">
        <v>25</v>
      </c>
      <c r="G275" s="4">
        <v>8</v>
      </c>
      <c r="H275" s="4">
        <v>1994</v>
      </c>
      <c r="I275" s="2" t="s">
        <v>327</v>
      </c>
      <c r="J275" s="3" t="s">
        <v>26</v>
      </c>
      <c r="K275" s="6">
        <v>0</v>
      </c>
      <c r="L275" s="6">
        <v>4</v>
      </c>
      <c r="M275" s="6">
        <v>23</v>
      </c>
      <c r="O275" s="1">
        <f>(K275/(K275+ L275 +M275))</f>
        <v>0</v>
      </c>
      <c r="P275" s="1">
        <f>(L275/(K275+ L275 +M275))</f>
        <v>0.14814814814814814</v>
      </c>
      <c r="Q275" s="1">
        <f>(M275/(K275+ L275 +M275))</f>
        <v>0.85185185185185186</v>
      </c>
    </row>
    <row r="276" spans="1:17" ht="16" x14ac:dyDescent="0.2">
      <c r="A276" s="4">
        <v>34696</v>
      </c>
      <c r="B276" s="2" t="s">
        <v>326</v>
      </c>
      <c r="C276" s="2" t="s">
        <v>82</v>
      </c>
      <c r="D276" s="2" t="s">
        <v>14</v>
      </c>
      <c r="E276" s="4">
        <v>4449</v>
      </c>
      <c r="F276" s="4">
        <v>6</v>
      </c>
      <c r="G276" s="4">
        <v>10</v>
      </c>
      <c r="H276" s="4">
        <v>1978</v>
      </c>
      <c r="I276" s="2" t="s">
        <v>325</v>
      </c>
      <c r="J276" s="3" t="s">
        <v>26</v>
      </c>
      <c r="K276" s="6">
        <v>0</v>
      </c>
      <c r="L276" s="6">
        <v>0</v>
      </c>
      <c r="M276" s="6">
        <v>10</v>
      </c>
      <c r="O276" s="1">
        <f>(K276/(K276+ L276 +M276))</f>
        <v>0</v>
      </c>
      <c r="P276" s="1">
        <f>(L276/(K276+ L276 +M276))</f>
        <v>0</v>
      </c>
      <c r="Q276" s="1">
        <f>(M276/(K276+ L276 +M276))</f>
        <v>1</v>
      </c>
    </row>
    <row r="277" spans="1:17" ht="16" x14ac:dyDescent="0.2">
      <c r="A277" s="4">
        <v>143959</v>
      </c>
      <c r="B277" s="2" t="s">
        <v>324</v>
      </c>
      <c r="C277" s="2" t="s">
        <v>82</v>
      </c>
      <c r="D277" s="2" t="s">
        <v>245</v>
      </c>
      <c r="E277" s="2" t="s">
        <v>244</v>
      </c>
      <c r="F277" s="4">
        <v>28</v>
      </c>
      <c r="G277" s="4">
        <v>6</v>
      </c>
      <c r="H277" s="4">
        <v>1999</v>
      </c>
      <c r="I277" s="2" t="s">
        <v>323</v>
      </c>
      <c r="J277" s="3" t="s">
        <v>26</v>
      </c>
      <c r="K277" s="6">
        <v>69</v>
      </c>
      <c r="L277" s="6">
        <v>13</v>
      </c>
      <c r="M277" s="6">
        <v>0</v>
      </c>
      <c r="O277" s="1">
        <f>(K277/(K277+ L277 +M277))</f>
        <v>0.84146341463414631</v>
      </c>
      <c r="P277" s="1">
        <f>(L277/(K277+ L277 +M277))</f>
        <v>0.15853658536585366</v>
      </c>
      <c r="Q277" s="1">
        <f>(M277/(K277+ L277 +M277))</f>
        <v>0</v>
      </c>
    </row>
    <row r="278" spans="1:17" ht="16" x14ac:dyDescent="0.2">
      <c r="A278" s="4">
        <v>177469</v>
      </c>
      <c r="B278" s="2" t="s">
        <v>322</v>
      </c>
      <c r="C278" s="2" t="s">
        <v>82</v>
      </c>
      <c r="D278" s="2" t="s">
        <v>23</v>
      </c>
      <c r="E278" s="2" t="s">
        <v>321</v>
      </c>
      <c r="F278" s="4">
        <v>16</v>
      </c>
      <c r="G278" s="4">
        <v>7</v>
      </c>
      <c r="H278" s="4">
        <v>2013</v>
      </c>
      <c r="I278" s="2" t="s">
        <v>320</v>
      </c>
      <c r="J278" s="3" t="s">
        <v>26</v>
      </c>
      <c r="K278" s="6">
        <v>0</v>
      </c>
      <c r="L278" s="6">
        <v>0</v>
      </c>
      <c r="M278" s="6">
        <v>15</v>
      </c>
      <c r="O278" s="1">
        <f>(K278/(K278+ L278 +M278))</f>
        <v>0</v>
      </c>
      <c r="P278" s="1">
        <f>(L278/(K278+ L278 +M278))</f>
        <v>0</v>
      </c>
      <c r="Q278" s="1">
        <f>(M278/(K278+ L278 +M278))</f>
        <v>1</v>
      </c>
    </row>
    <row r="279" spans="1:17" ht="16" x14ac:dyDescent="0.2">
      <c r="A279" s="4">
        <v>152462</v>
      </c>
      <c r="B279" s="2" t="s">
        <v>319</v>
      </c>
      <c r="C279" s="2" t="s">
        <v>82</v>
      </c>
      <c r="D279" s="2" t="s">
        <v>73</v>
      </c>
      <c r="E279" s="2" t="s">
        <v>318</v>
      </c>
      <c r="F279" s="4">
        <v>26</v>
      </c>
      <c r="G279" s="4">
        <v>6</v>
      </c>
      <c r="H279" s="4">
        <v>2001</v>
      </c>
      <c r="I279" s="2" t="s">
        <v>317</v>
      </c>
      <c r="J279" s="3" t="s">
        <v>26</v>
      </c>
      <c r="K279" s="6">
        <v>0</v>
      </c>
      <c r="L279" s="6">
        <v>0</v>
      </c>
      <c r="M279" s="6">
        <v>0</v>
      </c>
      <c r="O279" s="1" t="e">
        <f>(K279/(K279+ L279 +M279))</f>
        <v>#DIV/0!</v>
      </c>
      <c r="P279" s="1" t="e">
        <f>(L279/(K279+ L279 +M279))</f>
        <v>#DIV/0!</v>
      </c>
      <c r="Q279" s="1" t="e">
        <f>(M279/(K279+ L279 +M279))</f>
        <v>#DIV/0!</v>
      </c>
    </row>
    <row r="280" spans="1:17" ht="16" x14ac:dyDescent="0.2">
      <c r="A280" s="4">
        <v>28392</v>
      </c>
      <c r="B280" s="2" t="s">
        <v>316</v>
      </c>
      <c r="C280" s="2" t="s">
        <v>82</v>
      </c>
      <c r="D280" s="2" t="s">
        <v>315</v>
      </c>
      <c r="E280" s="2" t="s">
        <v>244</v>
      </c>
      <c r="F280" s="4">
        <v>23</v>
      </c>
      <c r="G280" s="4">
        <v>7</v>
      </c>
      <c r="H280" s="4">
        <v>1964</v>
      </c>
      <c r="I280" s="2" t="s">
        <v>308</v>
      </c>
      <c r="J280" s="3" t="s">
        <v>26</v>
      </c>
      <c r="K280" s="6">
        <v>0</v>
      </c>
      <c r="L280" s="6">
        <v>0</v>
      </c>
      <c r="M280" s="6">
        <v>2</v>
      </c>
      <c r="O280" s="1">
        <f>(K280/(K280+ L280 +M280))</f>
        <v>0</v>
      </c>
      <c r="P280" s="1">
        <f>(L280/(K280+ L280 +M280))</f>
        <v>0</v>
      </c>
      <c r="Q280" s="1">
        <f>(M280/(K280+ L280 +M280))</f>
        <v>1</v>
      </c>
    </row>
    <row r="281" spans="1:17" ht="16" x14ac:dyDescent="0.2">
      <c r="A281" s="4">
        <v>28389</v>
      </c>
      <c r="B281" s="2" t="s">
        <v>314</v>
      </c>
      <c r="C281" s="2" t="s">
        <v>82</v>
      </c>
      <c r="D281" s="2" t="s">
        <v>309</v>
      </c>
      <c r="E281" s="2" t="s">
        <v>244</v>
      </c>
      <c r="F281" s="4">
        <v>14</v>
      </c>
      <c r="G281" s="4">
        <v>10</v>
      </c>
      <c r="H281" s="4">
        <v>1971</v>
      </c>
      <c r="I281" s="2" t="s">
        <v>308</v>
      </c>
      <c r="J281" s="3" t="s">
        <v>26</v>
      </c>
      <c r="K281" s="6">
        <v>0</v>
      </c>
      <c r="L281" s="6">
        <v>0</v>
      </c>
      <c r="M281" s="6">
        <v>5</v>
      </c>
      <c r="O281" s="1">
        <f>(K281/(K281+ L281 +M281))</f>
        <v>0</v>
      </c>
      <c r="P281" s="1">
        <f>(L281/(K281+ L281 +M281))</f>
        <v>0</v>
      </c>
      <c r="Q281" s="1">
        <f>(M281/(K281+ L281 +M281))</f>
        <v>1</v>
      </c>
    </row>
    <row r="282" spans="1:17" ht="16" x14ac:dyDescent="0.2">
      <c r="A282" s="4">
        <v>74120</v>
      </c>
      <c r="B282" s="2" t="s">
        <v>313</v>
      </c>
      <c r="C282" s="2" t="s">
        <v>82</v>
      </c>
      <c r="D282" s="2" t="s">
        <v>64</v>
      </c>
      <c r="E282" s="2" t="s">
        <v>312</v>
      </c>
      <c r="F282" s="4">
        <v>8</v>
      </c>
      <c r="G282" s="4">
        <v>7</v>
      </c>
      <c r="H282" s="4">
        <v>1987</v>
      </c>
      <c r="I282" s="2" t="s">
        <v>311</v>
      </c>
      <c r="J282" s="3" t="s">
        <v>26</v>
      </c>
      <c r="K282" s="6">
        <v>0</v>
      </c>
      <c r="L282" s="6">
        <v>0</v>
      </c>
      <c r="M282" s="6">
        <v>3</v>
      </c>
      <c r="O282" s="1">
        <f>(K282/(K282+ L282 +M282))</f>
        <v>0</v>
      </c>
      <c r="P282" s="1">
        <f>(L282/(K282+ L282 +M282))</f>
        <v>0</v>
      </c>
      <c r="Q282" s="1">
        <f>(M282/(K282+ L282 +M282))</f>
        <v>1</v>
      </c>
    </row>
    <row r="283" spans="1:17" ht="16" x14ac:dyDescent="0.2">
      <c r="A283" s="4">
        <v>28391</v>
      </c>
      <c r="B283" s="2" t="s">
        <v>310</v>
      </c>
      <c r="C283" s="2" t="s">
        <v>82</v>
      </c>
      <c r="D283" s="2" t="s">
        <v>309</v>
      </c>
      <c r="E283" s="4">
        <v>436</v>
      </c>
      <c r="F283" s="4">
        <v>2</v>
      </c>
      <c r="G283" s="4">
        <v>7</v>
      </c>
      <c r="H283" s="4">
        <v>1970</v>
      </c>
      <c r="I283" s="2" t="s">
        <v>308</v>
      </c>
      <c r="J283" s="3" t="s">
        <v>26</v>
      </c>
      <c r="K283" s="6">
        <v>12</v>
      </c>
      <c r="L283" s="6">
        <v>10</v>
      </c>
      <c r="M283" s="6">
        <v>0</v>
      </c>
      <c r="O283" s="1">
        <f>(K283/(K283+ L283 +M283))</f>
        <v>0.54545454545454541</v>
      </c>
      <c r="P283" s="1">
        <f>(L283/(K283+ L283 +M283))</f>
        <v>0.45454545454545453</v>
      </c>
      <c r="Q283" s="1">
        <f>(M283/(K283+ L283 +M283))</f>
        <v>0</v>
      </c>
    </row>
    <row r="284" spans="1:17" ht="16" x14ac:dyDescent="0.2">
      <c r="A284" s="4">
        <v>92580</v>
      </c>
      <c r="B284" s="2" t="s">
        <v>307</v>
      </c>
      <c r="C284" s="2" t="s">
        <v>82</v>
      </c>
      <c r="D284" s="2" t="s">
        <v>77</v>
      </c>
      <c r="E284" s="2" t="s">
        <v>306</v>
      </c>
      <c r="F284" s="4">
        <v>6</v>
      </c>
      <c r="G284" s="4">
        <v>7</v>
      </c>
      <c r="H284" s="4">
        <v>1990</v>
      </c>
      <c r="I284" s="2" t="s">
        <v>305</v>
      </c>
      <c r="J284" s="3" t="s">
        <v>26</v>
      </c>
      <c r="K284" s="6">
        <v>12</v>
      </c>
      <c r="L284" s="6">
        <v>49</v>
      </c>
      <c r="M284" s="6">
        <v>0</v>
      </c>
      <c r="O284" s="1">
        <f>(K284/(K284+ L284 +M284))</f>
        <v>0.19672131147540983</v>
      </c>
      <c r="P284" s="1">
        <f>(L284/(K284+ L284 +M284))</f>
        <v>0.80327868852459017</v>
      </c>
      <c r="Q284" s="1">
        <f>(M284/(K284+ L284 +M284))</f>
        <v>0</v>
      </c>
    </row>
    <row r="285" spans="1:17" ht="16" x14ac:dyDescent="0.2">
      <c r="A285" s="4">
        <v>142087</v>
      </c>
      <c r="B285" s="2" t="s">
        <v>304</v>
      </c>
      <c r="C285" s="2" t="s">
        <v>82</v>
      </c>
      <c r="D285" s="2" t="s">
        <v>303</v>
      </c>
      <c r="E285" s="2" t="s">
        <v>244</v>
      </c>
      <c r="F285" s="4">
        <v>6</v>
      </c>
      <c r="G285" s="4">
        <v>7</v>
      </c>
      <c r="H285" s="4">
        <v>1998</v>
      </c>
      <c r="I285" s="2" t="s">
        <v>302</v>
      </c>
      <c r="J285" s="3" t="s">
        <v>26</v>
      </c>
      <c r="K285" s="6">
        <v>0</v>
      </c>
      <c r="L285" s="6">
        <v>0</v>
      </c>
      <c r="M285" s="6">
        <v>0</v>
      </c>
      <c r="O285" s="1" t="e">
        <f>(K285/(K285+ L285 +M285))</f>
        <v>#DIV/0!</v>
      </c>
      <c r="P285" s="1" t="e">
        <f>(L285/(K285+ L285 +M285))</f>
        <v>#DIV/0!</v>
      </c>
      <c r="Q285" s="1" t="e">
        <f>(M285/(K285+ L285 +M285))</f>
        <v>#DIV/0!</v>
      </c>
    </row>
    <row r="286" spans="1:17" ht="16" x14ac:dyDescent="0.2">
      <c r="A286" s="4">
        <v>74188</v>
      </c>
      <c r="B286" s="2" t="s">
        <v>301</v>
      </c>
      <c r="C286" s="2" t="s">
        <v>82</v>
      </c>
      <c r="D286" s="2" t="s">
        <v>64</v>
      </c>
      <c r="E286" s="2" t="s">
        <v>300</v>
      </c>
      <c r="F286" s="4">
        <v>8</v>
      </c>
      <c r="G286" s="4">
        <v>7</v>
      </c>
      <c r="H286" s="4">
        <v>1987</v>
      </c>
      <c r="I286" s="2" t="s">
        <v>299</v>
      </c>
      <c r="J286" s="3" t="s">
        <v>26</v>
      </c>
      <c r="K286" s="6">
        <v>0</v>
      </c>
      <c r="L286" s="6">
        <v>3</v>
      </c>
      <c r="M286" s="6">
        <v>8</v>
      </c>
      <c r="O286" s="1">
        <f>(K286/(K286+ L286 +M286))</f>
        <v>0</v>
      </c>
      <c r="P286" s="1">
        <f>(L286/(K286+ L286 +M286))</f>
        <v>0.27272727272727271</v>
      </c>
      <c r="Q286" s="1">
        <f>(M286/(K286+ L286 +M286))</f>
        <v>0.72727272727272729</v>
      </c>
    </row>
    <row r="287" spans="1:17" ht="16" x14ac:dyDescent="0.2">
      <c r="A287" s="4">
        <v>96089</v>
      </c>
      <c r="B287" s="2" t="s">
        <v>298</v>
      </c>
      <c r="C287" s="2" t="s">
        <v>82</v>
      </c>
      <c r="D287" s="2" t="s">
        <v>227</v>
      </c>
      <c r="E287" s="4">
        <v>4029</v>
      </c>
      <c r="F287" s="4">
        <v>29</v>
      </c>
      <c r="G287" s="4">
        <v>8</v>
      </c>
      <c r="H287" s="4">
        <v>1990</v>
      </c>
      <c r="I287" s="2" t="s">
        <v>297</v>
      </c>
      <c r="J287" s="3" t="s">
        <v>26</v>
      </c>
      <c r="K287" s="6">
        <v>0</v>
      </c>
      <c r="L287" s="6">
        <v>0</v>
      </c>
      <c r="M287" s="6">
        <v>5</v>
      </c>
      <c r="O287" s="1">
        <f>(K287/(K287+ L287 +M287))</f>
        <v>0</v>
      </c>
      <c r="P287" s="1">
        <f>(L287/(K287+ L287 +M287))</f>
        <v>0</v>
      </c>
      <c r="Q287" s="1">
        <f>(M287/(K287+ L287 +M287))</f>
        <v>1</v>
      </c>
    </row>
    <row r="288" spans="1:17" ht="16" x14ac:dyDescent="0.2">
      <c r="A288" s="4">
        <v>76714</v>
      </c>
      <c r="B288" s="2" t="s">
        <v>296</v>
      </c>
      <c r="C288" s="2" t="s">
        <v>82</v>
      </c>
      <c r="D288" s="2" t="s">
        <v>64</v>
      </c>
      <c r="E288" s="2" t="s">
        <v>295</v>
      </c>
      <c r="F288" s="4">
        <v>5</v>
      </c>
      <c r="G288" s="4">
        <v>8</v>
      </c>
      <c r="H288" s="4">
        <v>1987</v>
      </c>
      <c r="I288" s="2" t="s">
        <v>294</v>
      </c>
      <c r="J288" s="3" t="s">
        <v>26</v>
      </c>
      <c r="K288" s="6">
        <v>0</v>
      </c>
      <c r="L288" s="6">
        <v>0</v>
      </c>
      <c r="M288" s="6">
        <v>12</v>
      </c>
      <c r="O288" s="1">
        <f>(K288/(K288+ L288 +M288))</f>
        <v>0</v>
      </c>
      <c r="P288" s="1">
        <f>(L288/(K288+ L288 +M288))</f>
        <v>0</v>
      </c>
      <c r="Q288" s="1">
        <f>(M288/(K288+ L288 +M288))</f>
        <v>1</v>
      </c>
    </row>
    <row r="289" spans="1:17" ht="16" x14ac:dyDescent="0.2">
      <c r="A289" s="4">
        <v>172539</v>
      </c>
      <c r="B289" s="2" t="s">
        <v>293</v>
      </c>
      <c r="C289" s="2" t="s">
        <v>82</v>
      </c>
      <c r="D289" s="2" t="s">
        <v>292</v>
      </c>
      <c r="E289" s="2" t="s">
        <v>291</v>
      </c>
      <c r="F289" s="4">
        <v>1</v>
      </c>
      <c r="G289" s="4">
        <v>11</v>
      </c>
      <c r="H289" s="4">
        <v>2011</v>
      </c>
      <c r="I289" s="2" t="s">
        <v>290</v>
      </c>
      <c r="J289" s="3" t="s">
        <v>26</v>
      </c>
      <c r="K289" s="6">
        <v>0</v>
      </c>
      <c r="L289" s="6">
        <v>0</v>
      </c>
      <c r="M289" s="6">
        <v>0</v>
      </c>
      <c r="O289" s="1" t="e">
        <f>(K289/(K289+ L289 +M289))</f>
        <v>#DIV/0!</v>
      </c>
      <c r="P289" s="1" t="e">
        <f>(L289/(K289+ L289 +M289))</f>
        <v>#DIV/0!</v>
      </c>
      <c r="Q289" s="1" t="e">
        <f>(M289/(K289+ L289 +M289))</f>
        <v>#DIV/0!</v>
      </c>
    </row>
    <row r="290" spans="1:17" ht="16" x14ac:dyDescent="0.2">
      <c r="A290" s="4">
        <v>36844</v>
      </c>
      <c r="B290" s="2" t="s">
        <v>289</v>
      </c>
      <c r="C290" s="2" t="s">
        <v>82</v>
      </c>
      <c r="D290" s="2" t="s">
        <v>14</v>
      </c>
      <c r="E290" s="4">
        <v>4759</v>
      </c>
      <c r="F290" s="4">
        <v>9</v>
      </c>
      <c r="G290" s="4">
        <v>7</v>
      </c>
      <c r="H290" s="4">
        <v>1979</v>
      </c>
      <c r="I290" s="2" t="s">
        <v>288</v>
      </c>
      <c r="J290" s="3" t="s">
        <v>26</v>
      </c>
      <c r="K290" s="6">
        <v>12</v>
      </c>
      <c r="L290" s="6">
        <v>15</v>
      </c>
      <c r="M290" s="6">
        <v>1</v>
      </c>
      <c r="O290" s="1">
        <f>(K290/(K290+ L290 +M290))</f>
        <v>0.42857142857142855</v>
      </c>
      <c r="P290" s="1">
        <f>(L290/(K290+ L290 +M290))</f>
        <v>0.5357142857142857</v>
      </c>
      <c r="Q290" s="1">
        <f>(M290/(K290+ L290 +M290))</f>
        <v>3.5714285714285712E-2</v>
      </c>
    </row>
    <row r="291" spans="1:17" ht="16" x14ac:dyDescent="0.2">
      <c r="A291" s="4">
        <v>190222</v>
      </c>
      <c r="B291" s="2" t="s">
        <v>287</v>
      </c>
      <c r="C291" s="2" t="s">
        <v>24</v>
      </c>
      <c r="D291" s="2" t="s">
        <v>8</v>
      </c>
      <c r="E291" s="2" t="s">
        <v>286</v>
      </c>
      <c r="F291" s="4">
        <v>28</v>
      </c>
      <c r="G291" s="4">
        <v>9</v>
      </c>
      <c r="H291" s="4">
        <v>2020</v>
      </c>
      <c r="I291" s="2" t="s">
        <v>285</v>
      </c>
      <c r="J291" s="3" t="s">
        <v>26</v>
      </c>
      <c r="K291" s="2">
        <v>0</v>
      </c>
      <c r="L291" s="2">
        <v>0</v>
      </c>
      <c r="M291" s="2">
        <v>0</v>
      </c>
      <c r="N291" s="2"/>
      <c r="O291" s="1" t="e">
        <f>(K291/(K291+ L291 +M291))</f>
        <v>#DIV/0!</v>
      </c>
      <c r="P291" s="1" t="e">
        <f>(L291/(K291+ L291 +M291))</f>
        <v>#DIV/0!</v>
      </c>
      <c r="Q291" s="1" t="e">
        <f>(M291/(K291+ L291 +M291))</f>
        <v>#DIV/0!</v>
      </c>
    </row>
    <row r="292" spans="1:17" ht="16" x14ac:dyDescent="0.2">
      <c r="A292" s="4">
        <v>122449</v>
      </c>
      <c r="B292" s="2" t="s">
        <v>284</v>
      </c>
      <c r="C292" s="2" t="s">
        <v>176</v>
      </c>
      <c r="D292" s="2" t="s">
        <v>283</v>
      </c>
      <c r="E292" s="2" t="s">
        <v>282</v>
      </c>
      <c r="F292" s="4">
        <v>25</v>
      </c>
      <c r="G292" s="4">
        <v>6</v>
      </c>
      <c r="H292" s="4">
        <v>2004</v>
      </c>
      <c r="I292" s="2" t="s">
        <v>281</v>
      </c>
      <c r="J292" s="3" t="s">
        <v>26</v>
      </c>
      <c r="K292" s="2">
        <v>38</v>
      </c>
      <c r="L292" s="2">
        <v>53</v>
      </c>
      <c r="M292" s="2">
        <v>0</v>
      </c>
      <c r="N292" s="2"/>
      <c r="O292" s="1">
        <f>(K292/(K292+ L292 +M292))</f>
        <v>0.4175824175824176</v>
      </c>
      <c r="P292" s="1">
        <f>(L292/(K292+ L292 +M292))</f>
        <v>0.58241758241758246</v>
      </c>
      <c r="Q292" s="1">
        <f>(M292/(K292+ L292 +M292))</f>
        <v>0</v>
      </c>
    </row>
    <row r="293" spans="1:17" ht="16" x14ac:dyDescent="0.2">
      <c r="A293" s="4">
        <v>153303</v>
      </c>
      <c r="B293" s="2" t="s">
        <v>280</v>
      </c>
      <c r="C293" s="2" t="s">
        <v>176</v>
      </c>
      <c r="D293" s="2" t="s">
        <v>277</v>
      </c>
      <c r="E293" s="4">
        <v>7922</v>
      </c>
      <c r="F293" s="4">
        <v>2</v>
      </c>
      <c r="G293" s="4">
        <v>8</v>
      </c>
      <c r="H293" s="4">
        <v>1979</v>
      </c>
      <c r="I293" s="2" t="s">
        <v>279</v>
      </c>
      <c r="J293" s="3" t="s">
        <v>26</v>
      </c>
      <c r="K293" s="2">
        <v>0</v>
      </c>
      <c r="L293" s="2">
        <v>0</v>
      </c>
      <c r="M293" s="2">
        <v>0</v>
      </c>
      <c r="N293" s="2"/>
      <c r="O293" s="1" t="e">
        <f>(K293/(K293+ L293 +M293))</f>
        <v>#DIV/0!</v>
      </c>
      <c r="P293" s="1" t="e">
        <f>(L293/(K293+ L293 +M293))</f>
        <v>#DIV/0!</v>
      </c>
      <c r="Q293" s="1" t="e">
        <f>(M293/(K293+ L293 +M293))</f>
        <v>#DIV/0!</v>
      </c>
    </row>
    <row r="294" spans="1:17" ht="16" x14ac:dyDescent="0.2">
      <c r="A294" s="4">
        <v>153300</v>
      </c>
      <c r="B294" s="2" t="s">
        <v>278</v>
      </c>
      <c r="C294" s="2" t="s">
        <v>176</v>
      </c>
      <c r="D294" s="2" t="s">
        <v>277</v>
      </c>
      <c r="E294" s="4">
        <v>7921</v>
      </c>
      <c r="F294" s="4">
        <v>2</v>
      </c>
      <c r="G294" s="4">
        <v>8</v>
      </c>
      <c r="H294" s="4">
        <v>1979</v>
      </c>
      <c r="I294" s="2" t="s">
        <v>276</v>
      </c>
      <c r="J294" s="3" t="s">
        <v>26</v>
      </c>
      <c r="K294" s="2">
        <v>0</v>
      </c>
      <c r="L294" s="2">
        <v>0</v>
      </c>
      <c r="M294" s="2">
        <v>1</v>
      </c>
      <c r="N294" s="2"/>
      <c r="O294" s="1">
        <f>(K294/(K294+ L294 +M294))</f>
        <v>0</v>
      </c>
      <c r="P294" s="1">
        <f>(L294/(K294+ L294 +M294))</f>
        <v>0</v>
      </c>
      <c r="Q294" s="1">
        <f>(M294/(K294+ L294 +M294))</f>
        <v>1</v>
      </c>
    </row>
    <row r="295" spans="1:17" ht="16" x14ac:dyDescent="0.2">
      <c r="A295" s="4">
        <v>75703</v>
      </c>
      <c r="B295" s="2" t="s">
        <v>275</v>
      </c>
      <c r="C295" s="2" t="s">
        <v>176</v>
      </c>
      <c r="D295" s="2" t="s">
        <v>64</v>
      </c>
      <c r="E295" s="2" t="s">
        <v>274</v>
      </c>
      <c r="F295" s="4">
        <v>7</v>
      </c>
      <c r="G295" s="4">
        <v>7</v>
      </c>
      <c r="H295" s="4">
        <v>1987</v>
      </c>
      <c r="I295" s="2" t="s">
        <v>273</v>
      </c>
      <c r="J295" s="3" t="s">
        <v>26</v>
      </c>
      <c r="K295" s="2">
        <v>0</v>
      </c>
      <c r="L295" s="2">
        <v>0</v>
      </c>
      <c r="M295" s="2">
        <v>101</v>
      </c>
      <c r="N295" s="2"/>
      <c r="O295" s="1">
        <f>(K295/(K295+ L295 +M295))</f>
        <v>0</v>
      </c>
      <c r="P295" s="1">
        <f>(L295/(K295+ L295 +M295))</f>
        <v>0</v>
      </c>
      <c r="Q295" s="1">
        <f>(M295/(K295+ L295 +M295))</f>
        <v>1</v>
      </c>
    </row>
    <row r="296" spans="1:17" ht="16" x14ac:dyDescent="0.2">
      <c r="A296" s="4">
        <v>142821</v>
      </c>
      <c r="B296" s="2" t="s">
        <v>272</v>
      </c>
      <c r="C296" s="2" t="s">
        <v>176</v>
      </c>
      <c r="D296" s="2" t="s">
        <v>271</v>
      </c>
      <c r="E296" s="2" t="s">
        <v>270</v>
      </c>
      <c r="F296" s="4">
        <v>28</v>
      </c>
      <c r="G296" s="4">
        <v>6</v>
      </c>
      <c r="H296" s="4">
        <v>1998</v>
      </c>
      <c r="I296" s="2" t="s">
        <v>269</v>
      </c>
      <c r="J296" s="3" t="s">
        <v>26</v>
      </c>
      <c r="K296" s="2">
        <v>0</v>
      </c>
      <c r="L296" s="2">
        <v>17</v>
      </c>
      <c r="M296" s="2">
        <v>4</v>
      </c>
      <c r="N296" s="2"/>
      <c r="O296" s="1">
        <f>(K296/(K296+ L296 +M296))</f>
        <v>0</v>
      </c>
      <c r="P296" s="1">
        <f>(L296/(K296+ L296 +M296))</f>
        <v>0.80952380952380953</v>
      </c>
      <c r="Q296" s="1">
        <f>(M296/(K296+ L296 +M296))</f>
        <v>0.19047619047619047</v>
      </c>
    </row>
    <row r="297" spans="1:17" ht="16" x14ac:dyDescent="0.2">
      <c r="A297" s="4">
        <v>75704</v>
      </c>
      <c r="B297" s="2" t="s">
        <v>268</v>
      </c>
      <c r="C297" s="2" t="s">
        <v>176</v>
      </c>
      <c r="D297" s="2" t="s">
        <v>64</v>
      </c>
      <c r="E297" s="2" t="s">
        <v>267</v>
      </c>
      <c r="F297" s="4">
        <v>7</v>
      </c>
      <c r="G297" s="4">
        <v>7</v>
      </c>
      <c r="H297" s="4">
        <v>1987</v>
      </c>
      <c r="I297" s="2" t="s">
        <v>266</v>
      </c>
      <c r="J297" s="3" t="s">
        <v>26</v>
      </c>
      <c r="K297" s="2">
        <v>0</v>
      </c>
      <c r="L297" s="2">
        <v>0</v>
      </c>
      <c r="M297" s="2">
        <v>25</v>
      </c>
      <c r="N297" s="2"/>
      <c r="O297" s="1">
        <f>(K297/(K297+ L297 +M297))</f>
        <v>0</v>
      </c>
      <c r="P297" s="1">
        <f>(L297/(K297+ L297 +M297))</f>
        <v>0</v>
      </c>
      <c r="Q297" s="1">
        <f>(M297/(K297+ L297 +M297))</f>
        <v>1</v>
      </c>
    </row>
    <row r="298" spans="1:17" ht="16" x14ac:dyDescent="0.2">
      <c r="A298" s="4">
        <v>159681</v>
      </c>
      <c r="B298" s="2" t="s">
        <v>265</v>
      </c>
      <c r="C298" s="2" t="s">
        <v>176</v>
      </c>
      <c r="D298" s="2" t="s">
        <v>38</v>
      </c>
      <c r="E298" s="2" t="s">
        <v>264</v>
      </c>
      <c r="F298" s="4">
        <v>6</v>
      </c>
      <c r="G298" s="4">
        <v>7</v>
      </c>
      <c r="H298" s="4">
        <v>2005</v>
      </c>
      <c r="I298" s="2" t="s">
        <v>263</v>
      </c>
      <c r="J298" s="3" t="s">
        <v>26</v>
      </c>
      <c r="K298" s="2">
        <v>0</v>
      </c>
      <c r="L298" s="2">
        <v>3</v>
      </c>
      <c r="M298" s="2">
        <v>92</v>
      </c>
      <c r="N298" s="2"/>
      <c r="O298" s="1">
        <f>(K298/(K298+ L298 +M298))</f>
        <v>0</v>
      </c>
      <c r="P298" s="1">
        <f>(L298/(K298+ L298 +M298))</f>
        <v>3.1578947368421054E-2</v>
      </c>
      <c r="Q298" s="1">
        <f>(M298/(K298+ L298 +M298))</f>
        <v>0.96842105263157896</v>
      </c>
    </row>
    <row r="299" spans="1:17" ht="16" x14ac:dyDescent="0.2">
      <c r="A299" s="4">
        <v>74770</v>
      </c>
      <c r="B299" s="2" t="s">
        <v>262</v>
      </c>
      <c r="C299" s="2" t="s">
        <v>176</v>
      </c>
      <c r="D299" s="2" t="s">
        <v>64</v>
      </c>
      <c r="E299" s="2" t="s">
        <v>261</v>
      </c>
      <c r="F299" s="4">
        <v>23</v>
      </c>
      <c r="G299" s="4">
        <v>6</v>
      </c>
      <c r="H299" s="4">
        <v>1987</v>
      </c>
      <c r="I299" s="2" t="s">
        <v>260</v>
      </c>
      <c r="J299" s="3" t="s">
        <v>26</v>
      </c>
      <c r="K299" s="2">
        <v>2</v>
      </c>
      <c r="L299" s="2">
        <v>56</v>
      </c>
      <c r="M299" s="2">
        <v>3</v>
      </c>
      <c r="N299" s="2"/>
      <c r="O299" s="1">
        <f>(K299/(K299+ L299 +M299))</f>
        <v>3.2786885245901641E-2</v>
      </c>
      <c r="P299" s="1">
        <f>(L299/(K299+ L299 +M299))</f>
        <v>0.91803278688524592</v>
      </c>
      <c r="Q299" s="1">
        <f>(M299/(K299+ L299 +M299))</f>
        <v>4.9180327868852458E-2</v>
      </c>
    </row>
    <row r="300" spans="1:17" ht="16" x14ac:dyDescent="0.2">
      <c r="A300" s="4">
        <v>64084</v>
      </c>
      <c r="B300" s="2" t="s">
        <v>259</v>
      </c>
      <c r="C300" s="2" t="s">
        <v>246</v>
      </c>
      <c r="D300" s="2" t="s">
        <v>64</v>
      </c>
      <c r="E300" s="2" t="s">
        <v>258</v>
      </c>
      <c r="F300" s="4">
        <v>18</v>
      </c>
      <c r="G300" s="4">
        <v>7</v>
      </c>
      <c r="H300" s="4">
        <v>1985</v>
      </c>
      <c r="I300" s="2" t="s">
        <v>257</v>
      </c>
      <c r="J300" s="3" t="s">
        <v>26</v>
      </c>
      <c r="K300" s="6">
        <v>0</v>
      </c>
      <c r="L300" s="6">
        <v>1</v>
      </c>
      <c r="M300" s="6">
        <v>49</v>
      </c>
      <c r="O300" s="1">
        <f>(K300/(K300+ L300 +M300))</f>
        <v>0</v>
      </c>
      <c r="P300" s="1">
        <f>(L300/(K300+ L300 +M300))</f>
        <v>0.02</v>
      </c>
      <c r="Q300" s="1">
        <f>(M300/(K300+ L300 +M300))</f>
        <v>0.98</v>
      </c>
    </row>
    <row r="301" spans="1:17" ht="16" x14ac:dyDescent="0.2">
      <c r="A301" s="4">
        <v>36843</v>
      </c>
      <c r="B301" s="2" t="s">
        <v>256</v>
      </c>
      <c r="C301" s="2" t="s">
        <v>246</v>
      </c>
      <c r="D301" s="2" t="s">
        <v>14</v>
      </c>
      <c r="E301" s="4">
        <v>4749</v>
      </c>
      <c r="F301" s="4">
        <v>6</v>
      </c>
      <c r="G301" s="4">
        <v>7</v>
      </c>
      <c r="H301" s="4">
        <v>1979</v>
      </c>
      <c r="I301" s="2" t="s">
        <v>255</v>
      </c>
      <c r="J301" s="3" t="s">
        <v>26</v>
      </c>
      <c r="K301" s="6">
        <v>7</v>
      </c>
      <c r="L301" s="6">
        <v>20</v>
      </c>
      <c r="M301" s="6">
        <v>4</v>
      </c>
      <c r="O301" s="1">
        <f>(K301/(K301+ L301 +M301))</f>
        <v>0.22580645161290322</v>
      </c>
      <c r="P301" s="1">
        <f>(L301/(K301+ L301 +M301))</f>
        <v>0.64516129032258063</v>
      </c>
      <c r="Q301" s="1">
        <f>(M301/(K301+ L301 +M301))</f>
        <v>0.12903225806451613</v>
      </c>
    </row>
    <row r="302" spans="1:17" ht="16" x14ac:dyDescent="0.2">
      <c r="A302" s="4">
        <v>132909</v>
      </c>
      <c r="B302" s="2" t="s">
        <v>254</v>
      </c>
      <c r="C302" s="2" t="s">
        <v>246</v>
      </c>
      <c r="D302" s="2" t="s">
        <v>73</v>
      </c>
      <c r="E302" s="2" t="s">
        <v>253</v>
      </c>
      <c r="F302" s="4">
        <v>10</v>
      </c>
      <c r="G302" s="4">
        <v>9</v>
      </c>
      <c r="H302" s="4">
        <v>1996</v>
      </c>
      <c r="I302" s="2" t="s">
        <v>252</v>
      </c>
      <c r="J302" s="3" t="s">
        <v>26</v>
      </c>
      <c r="K302" s="6">
        <v>0</v>
      </c>
      <c r="L302" s="6">
        <v>0</v>
      </c>
      <c r="M302" s="6">
        <v>18</v>
      </c>
      <c r="O302" s="1">
        <f>(K302/(K302+ L302 +M302))</f>
        <v>0</v>
      </c>
      <c r="P302" s="1">
        <f>(L302/(K302+ L302 +M302))</f>
        <v>0</v>
      </c>
      <c r="Q302" s="1">
        <f>(M302/(K302+ L302 +M302))</f>
        <v>1</v>
      </c>
    </row>
    <row r="303" spans="1:17" ht="16" x14ac:dyDescent="0.2">
      <c r="A303" s="4">
        <v>120673</v>
      </c>
      <c r="B303" s="2" t="s">
        <v>251</v>
      </c>
      <c r="C303" s="2" t="s">
        <v>246</v>
      </c>
      <c r="D303" s="2" t="s">
        <v>250</v>
      </c>
      <c r="E303" s="2" t="s">
        <v>249</v>
      </c>
      <c r="F303" s="4">
        <v>14</v>
      </c>
      <c r="G303" s="4">
        <v>7</v>
      </c>
      <c r="H303" s="4">
        <v>1994</v>
      </c>
      <c r="I303" s="2" t="s">
        <v>248</v>
      </c>
      <c r="J303" s="3" t="s">
        <v>26</v>
      </c>
      <c r="K303" s="6">
        <v>0</v>
      </c>
      <c r="L303" s="6">
        <v>0</v>
      </c>
      <c r="M303" s="6">
        <v>70</v>
      </c>
      <c r="O303" s="1">
        <f>(K303/(K303+ L303 +M303))</f>
        <v>0</v>
      </c>
      <c r="P303" s="1">
        <f>(L303/(K303+ L303 +M303))</f>
        <v>0</v>
      </c>
      <c r="Q303" s="1">
        <f>(M303/(K303+ L303 +M303))</f>
        <v>1</v>
      </c>
    </row>
    <row r="304" spans="1:17" ht="16" x14ac:dyDescent="0.2">
      <c r="A304" s="4">
        <v>143984</v>
      </c>
      <c r="B304" s="2" t="s">
        <v>247</v>
      </c>
      <c r="C304" s="2" t="s">
        <v>246</v>
      </c>
      <c r="D304" s="2" t="s">
        <v>245</v>
      </c>
      <c r="E304" s="2" t="s">
        <v>244</v>
      </c>
      <c r="F304" s="4">
        <v>28</v>
      </c>
      <c r="G304" s="4">
        <v>6</v>
      </c>
      <c r="H304" s="4">
        <v>1999</v>
      </c>
      <c r="I304" s="2" t="s">
        <v>243</v>
      </c>
      <c r="J304" s="3" t="s">
        <v>26</v>
      </c>
      <c r="K304" s="6">
        <v>14</v>
      </c>
      <c r="L304" s="6">
        <v>22</v>
      </c>
      <c r="M304" s="6">
        <v>0</v>
      </c>
      <c r="O304" s="1">
        <f>(K304/(K304+ L304 +M304))</f>
        <v>0.3888888888888889</v>
      </c>
      <c r="P304" s="1">
        <f>(L304/(K304+ L304 +M304))</f>
        <v>0.61111111111111116</v>
      </c>
      <c r="Q304" s="1">
        <f>(M304/(K304+ L304 +M304))</f>
        <v>0</v>
      </c>
    </row>
    <row r="305" spans="1:17" ht="16" x14ac:dyDescent="0.2">
      <c r="A305" s="4">
        <v>77032</v>
      </c>
      <c r="B305" s="2" t="s">
        <v>242</v>
      </c>
      <c r="C305" s="2" t="s">
        <v>238</v>
      </c>
      <c r="D305" s="2" t="s">
        <v>64</v>
      </c>
      <c r="E305" s="2" t="s">
        <v>241</v>
      </c>
      <c r="F305" s="4">
        <v>10</v>
      </c>
      <c r="G305" s="4">
        <v>8</v>
      </c>
      <c r="H305" s="4">
        <v>1987</v>
      </c>
      <c r="I305" s="2" t="s">
        <v>240</v>
      </c>
      <c r="J305" s="3" t="s">
        <v>26</v>
      </c>
      <c r="K305" s="6">
        <v>0</v>
      </c>
      <c r="L305" s="6">
        <v>0</v>
      </c>
      <c r="M305" s="6">
        <v>10</v>
      </c>
      <c r="O305" s="1">
        <f>(K305/(K305+ L305 +M305))</f>
        <v>0</v>
      </c>
      <c r="P305" s="1">
        <f>(L305/(K305+ L305 +M305))</f>
        <v>0</v>
      </c>
      <c r="Q305" s="1">
        <f>(M305/(K305+ L305 +M305))</f>
        <v>1</v>
      </c>
    </row>
    <row r="306" spans="1:17" ht="16" x14ac:dyDescent="0.2">
      <c r="A306" s="4">
        <v>177301</v>
      </c>
      <c r="B306" s="2" t="s">
        <v>239</v>
      </c>
      <c r="C306" s="2" t="s">
        <v>238</v>
      </c>
      <c r="D306" s="2" t="s">
        <v>237</v>
      </c>
      <c r="E306" s="2" t="s">
        <v>236</v>
      </c>
      <c r="F306" s="4">
        <v>1</v>
      </c>
      <c r="G306" s="4">
        <v>8</v>
      </c>
      <c r="H306" s="4">
        <v>2013</v>
      </c>
      <c r="I306" s="2" t="s">
        <v>235</v>
      </c>
      <c r="J306" s="3" t="s">
        <v>26</v>
      </c>
      <c r="K306" s="6">
        <v>0</v>
      </c>
      <c r="L306" s="6">
        <v>0</v>
      </c>
      <c r="M306" s="6">
        <v>7</v>
      </c>
      <c r="O306" s="1">
        <f>(K306/(K306+ L306 +M306))</f>
        <v>0</v>
      </c>
      <c r="P306" s="1">
        <f>(L306/(K306+ L306 +M306))</f>
        <v>0</v>
      </c>
      <c r="Q306" s="1">
        <f>(M306/(K306+ L306 +M306))</f>
        <v>1</v>
      </c>
    </row>
    <row r="307" spans="1:17" ht="16" x14ac:dyDescent="0.2">
      <c r="A307" s="4">
        <v>190644</v>
      </c>
      <c r="B307" s="2" t="s">
        <v>234</v>
      </c>
      <c r="C307" s="2" t="s">
        <v>4</v>
      </c>
      <c r="D307" s="2" t="s">
        <v>8</v>
      </c>
      <c r="E307" s="2" t="s">
        <v>233</v>
      </c>
      <c r="F307" s="4">
        <v>23</v>
      </c>
      <c r="G307" s="4">
        <v>9</v>
      </c>
      <c r="H307" s="4">
        <v>2020</v>
      </c>
      <c r="I307" s="2" t="s">
        <v>232</v>
      </c>
      <c r="J307" s="3" t="s">
        <v>26</v>
      </c>
      <c r="K307" s="6">
        <v>0</v>
      </c>
      <c r="L307" s="6">
        <v>0</v>
      </c>
      <c r="M307" s="6">
        <v>0</v>
      </c>
      <c r="O307" s="1" t="e">
        <f>(K307/(K307+ L307 +M307))</f>
        <v>#DIV/0!</v>
      </c>
      <c r="P307" s="1" t="e">
        <f>(L307/(K307+ L307 +M307))</f>
        <v>#DIV/0!</v>
      </c>
      <c r="Q307" s="1" t="e">
        <f>(M307/(K307+ L307 +M307))</f>
        <v>#DIV/0!</v>
      </c>
    </row>
    <row r="308" spans="1:17" ht="16" x14ac:dyDescent="0.2">
      <c r="A308" s="4">
        <v>172684</v>
      </c>
      <c r="B308" s="2" t="s">
        <v>231</v>
      </c>
      <c r="C308" s="2" t="s">
        <v>4</v>
      </c>
      <c r="D308" s="2" t="s">
        <v>23</v>
      </c>
      <c r="E308" s="2" t="s">
        <v>230</v>
      </c>
      <c r="F308" s="4">
        <v>16</v>
      </c>
      <c r="G308" s="4">
        <v>8</v>
      </c>
      <c r="H308" s="4">
        <v>2011</v>
      </c>
      <c r="I308" s="2" t="s">
        <v>229</v>
      </c>
      <c r="J308" s="3" t="s">
        <v>26</v>
      </c>
      <c r="K308" s="6">
        <v>0</v>
      </c>
      <c r="L308" s="6">
        <v>0</v>
      </c>
      <c r="M308" s="6">
        <v>6</v>
      </c>
      <c r="O308" s="1">
        <f>(K308/(K308+ L308 +M308))</f>
        <v>0</v>
      </c>
      <c r="P308" s="1">
        <f>(L308/(K308+ L308 +M308))</f>
        <v>0</v>
      </c>
      <c r="Q308" s="1">
        <f>(M308/(K308+ L308 +M308))</f>
        <v>1</v>
      </c>
    </row>
    <row r="309" spans="1:17" ht="16" x14ac:dyDescent="0.2">
      <c r="A309" s="4">
        <v>97798</v>
      </c>
      <c r="B309" s="2" t="s">
        <v>228</v>
      </c>
      <c r="C309" s="2" t="s">
        <v>82</v>
      </c>
      <c r="D309" s="2" t="s">
        <v>227</v>
      </c>
      <c r="E309" s="4">
        <v>4726</v>
      </c>
      <c r="F309" s="4">
        <v>26</v>
      </c>
      <c r="G309" s="4">
        <v>6</v>
      </c>
      <c r="H309" s="4">
        <v>1991</v>
      </c>
      <c r="I309" s="2" t="s">
        <v>226</v>
      </c>
      <c r="J309" s="3" t="s">
        <v>26</v>
      </c>
      <c r="K309" s="6">
        <v>2</v>
      </c>
      <c r="L309" s="6">
        <v>16</v>
      </c>
      <c r="M309" s="6">
        <v>0</v>
      </c>
      <c r="O309" s="1">
        <f>(K309/(K309+ L309 +M309))</f>
        <v>0.1111111111111111</v>
      </c>
      <c r="P309" s="1">
        <f>(L309/(K309+ L309 +M309))</f>
        <v>0.88888888888888884</v>
      </c>
      <c r="Q309" s="1">
        <f>(M309/(K309+ L309 +M309))</f>
        <v>0</v>
      </c>
    </row>
    <row r="310" spans="1:17" ht="16" x14ac:dyDescent="0.2">
      <c r="A310" s="4">
        <v>120844</v>
      </c>
      <c r="B310" s="2" t="s">
        <v>225</v>
      </c>
      <c r="C310" s="2" t="s">
        <v>215</v>
      </c>
      <c r="D310" s="2" t="s">
        <v>73</v>
      </c>
      <c r="E310" s="2" t="s">
        <v>224</v>
      </c>
      <c r="F310" s="4">
        <v>16</v>
      </c>
      <c r="G310" s="4">
        <v>8</v>
      </c>
      <c r="H310" s="4">
        <v>1994</v>
      </c>
      <c r="I310" s="2" t="s">
        <v>223</v>
      </c>
      <c r="J310" s="3" t="s">
        <v>26</v>
      </c>
      <c r="K310" s="6">
        <v>0</v>
      </c>
      <c r="L310" s="6">
        <v>0</v>
      </c>
      <c r="M310" s="6">
        <v>21</v>
      </c>
      <c r="O310" s="1">
        <f>(K310/(K310+ L310 +M310))</f>
        <v>0</v>
      </c>
      <c r="P310" s="1">
        <f>(L310/(K310+ L310 +M310))</f>
        <v>0</v>
      </c>
      <c r="Q310" s="1">
        <f>(M310/(K310+ L310 +M310))</f>
        <v>1</v>
      </c>
    </row>
    <row r="311" spans="1:17" ht="16" x14ac:dyDescent="0.2">
      <c r="A311" s="4">
        <v>122247</v>
      </c>
      <c r="B311" s="2" t="s">
        <v>222</v>
      </c>
      <c r="C311" s="2" t="s">
        <v>215</v>
      </c>
      <c r="D311" s="2" t="s">
        <v>14</v>
      </c>
      <c r="E311" s="2" t="s">
        <v>221</v>
      </c>
      <c r="F311" s="4">
        <v>30</v>
      </c>
      <c r="G311" s="4">
        <v>8</v>
      </c>
      <c r="H311" s="4">
        <v>1994</v>
      </c>
      <c r="I311" s="2" t="s">
        <v>213</v>
      </c>
      <c r="J311" s="3" t="s">
        <v>26</v>
      </c>
      <c r="K311" s="6">
        <v>0</v>
      </c>
      <c r="L311" s="6">
        <v>0</v>
      </c>
      <c r="M311" s="6">
        <v>3</v>
      </c>
      <c r="O311" s="1">
        <f>(K311/(K311+ L311 +M311))</f>
        <v>0</v>
      </c>
      <c r="P311" s="1">
        <f>(L311/(K311+ L311 +M311))</f>
        <v>0</v>
      </c>
      <c r="Q311" s="1">
        <f>(M311/(K311+ L311 +M311))</f>
        <v>1</v>
      </c>
    </row>
    <row r="312" spans="1:17" ht="16" x14ac:dyDescent="0.2">
      <c r="A312" s="4">
        <v>177016</v>
      </c>
      <c r="B312" s="2" t="s">
        <v>220</v>
      </c>
      <c r="C312" s="2" t="s">
        <v>215</v>
      </c>
      <c r="D312" s="2" t="s">
        <v>219</v>
      </c>
      <c r="E312" s="2" t="s">
        <v>218</v>
      </c>
      <c r="F312" s="4">
        <v>8</v>
      </c>
      <c r="G312" s="4">
        <v>8</v>
      </c>
      <c r="H312" s="4">
        <v>2013</v>
      </c>
      <c r="I312" s="2" t="s">
        <v>217</v>
      </c>
      <c r="J312" s="3" t="s">
        <v>26</v>
      </c>
      <c r="K312" s="6">
        <v>0</v>
      </c>
      <c r="L312" s="6">
        <v>0</v>
      </c>
      <c r="M312" s="6">
        <v>28</v>
      </c>
      <c r="O312" s="1">
        <f>(K312/(K312+ L312 +M312))</f>
        <v>0</v>
      </c>
      <c r="P312" s="1">
        <f>(L312/(K312+ L312 +M312))</f>
        <v>0</v>
      </c>
      <c r="Q312" s="1">
        <f>(M312/(K312+ L312 +M312))</f>
        <v>1</v>
      </c>
    </row>
    <row r="313" spans="1:17" ht="16" x14ac:dyDescent="0.2">
      <c r="A313" s="4">
        <v>98505</v>
      </c>
      <c r="B313" s="2" t="s">
        <v>216</v>
      </c>
      <c r="C313" s="2" t="s">
        <v>215</v>
      </c>
      <c r="D313" s="2" t="s">
        <v>73</v>
      </c>
      <c r="E313" s="2" t="s">
        <v>214</v>
      </c>
      <c r="F313" s="4">
        <v>6</v>
      </c>
      <c r="G313" s="4">
        <v>8</v>
      </c>
      <c r="H313" s="4">
        <v>1991</v>
      </c>
      <c r="I313" s="2" t="s">
        <v>213</v>
      </c>
      <c r="J313" s="3" t="s">
        <v>26</v>
      </c>
      <c r="K313" s="6">
        <v>0</v>
      </c>
      <c r="L313" s="6">
        <v>0</v>
      </c>
      <c r="M313" s="6">
        <v>16</v>
      </c>
      <c r="O313" s="1">
        <f>(K313/(K313+ L313 +M313))</f>
        <v>0</v>
      </c>
      <c r="P313" s="1">
        <f>(L313/(K313+ L313 +M313))</f>
        <v>0</v>
      </c>
      <c r="Q313" s="1">
        <f>(M313/(K313+ L313 +M313))</f>
        <v>1</v>
      </c>
    </row>
    <row r="314" spans="1:17" ht="16" x14ac:dyDescent="0.2">
      <c r="A314" s="4">
        <v>36824</v>
      </c>
      <c r="B314" s="2" t="s">
        <v>212</v>
      </c>
      <c r="C314" s="2" t="s">
        <v>211</v>
      </c>
      <c r="D314" s="2" t="s">
        <v>14</v>
      </c>
      <c r="E314" s="4">
        <v>4444</v>
      </c>
      <c r="F314" s="4">
        <v>6</v>
      </c>
      <c r="G314" s="4">
        <v>10</v>
      </c>
      <c r="H314" s="4">
        <v>1978</v>
      </c>
      <c r="I314" s="2" t="s">
        <v>210</v>
      </c>
      <c r="J314" s="3" t="s">
        <v>26</v>
      </c>
      <c r="K314" s="6">
        <v>0</v>
      </c>
      <c r="L314" s="6">
        <v>0</v>
      </c>
      <c r="M314" s="6">
        <v>30</v>
      </c>
      <c r="O314" s="1">
        <f>(K314/(K314+ L314 +M314))</f>
        <v>0</v>
      </c>
      <c r="P314" s="1">
        <f>(L314/(K314+ L314 +M314))</f>
        <v>0</v>
      </c>
      <c r="Q314" s="1">
        <f>(M314/(K314+ L314 +M314))</f>
        <v>1</v>
      </c>
    </row>
    <row r="315" spans="1:17" ht="17.25" customHeight="1" x14ac:dyDescent="0.2">
      <c r="A315" s="4">
        <v>190618</v>
      </c>
      <c r="B315" s="2" t="s">
        <v>209</v>
      </c>
      <c r="C315" s="2" t="s">
        <v>208</v>
      </c>
      <c r="D315" s="2" t="s">
        <v>8</v>
      </c>
      <c r="E315" s="2" t="s">
        <v>207</v>
      </c>
      <c r="F315" s="4">
        <v>25</v>
      </c>
      <c r="G315" s="4">
        <v>9</v>
      </c>
      <c r="H315" s="4">
        <v>2020</v>
      </c>
      <c r="I315" s="2" t="s">
        <v>206</v>
      </c>
      <c r="J315" s="3" t="s">
        <v>26</v>
      </c>
      <c r="K315" s="2">
        <v>0</v>
      </c>
      <c r="L315" s="2">
        <v>0</v>
      </c>
      <c r="M315" s="2">
        <v>0</v>
      </c>
      <c r="N315" s="2"/>
      <c r="O315" s="1" t="e">
        <f>(K315/(K315+ L315 +M315))</f>
        <v>#DIV/0!</v>
      </c>
      <c r="P315" s="1" t="e">
        <f>(L315/(K315+ L315 +M315))</f>
        <v>#DIV/0!</v>
      </c>
      <c r="Q315" s="1" t="e">
        <f>(M315/(K315+ L315 +M315))</f>
        <v>#DIV/0!</v>
      </c>
    </row>
    <row r="316" spans="1:17" ht="16" x14ac:dyDescent="0.2">
      <c r="A316" s="4">
        <v>188219</v>
      </c>
      <c r="B316" s="2" t="s">
        <v>205</v>
      </c>
      <c r="C316" s="2" t="s">
        <v>204</v>
      </c>
      <c r="D316" s="2" t="s">
        <v>8</v>
      </c>
      <c r="E316" s="2" t="s">
        <v>203</v>
      </c>
      <c r="F316" s="4">
        <v>5</v>
      </c>
      <c r="G316" s="4">
        <v>9</v>
      </c>
      <c r="H316" s="4">
        <v>2018</v>
      </c>
      <c r="I316" s="2" t="s">
        <v>202</v>
      </c>
      <c r="J316" s="3" t="s">
        <v>26</v>
      </c>
      <c r="K316" s="2">
        <v>0</v>
      </c>
      <c r="L316" s="2">
        <v>0</v>
      </c>
      <c r="M316" s="2">
        <v>6</v>
      </c>
      <c r="N316" s="2"/>
      <c r="O316" s="1">
        <f>(K316/(K316+ L316 +M316))</f>
        <v>0</v>
      </c>
      <c r="P316" s="1">
        <f>(L316/(K316+ L316 +M316))</f>
        <v>0</v>
      </c>
      <c r="Q316" s="1">
        <f>(M316/(K316+ L316 +M316))</f>
        <v>1</v>
      </c>
    </row>
    <row r="317" spans="1:17" ht="16" x14ac:dyDescent="0.2">
      <c r="A317" s="4">
        <v>188220</v>
      </c>
      <c r="B317" s="2" t="s">
        <v>201</v>
      </c>
      <c r="C317" s="2" t="s">
        <v>200</v>
      </c>
      <c r="D317" s="2" t="s">
        <v>8</v>
      </c>
      <c r="E317" s="2" t="s">
        <v>199</v>
      </c>
      <c r="F317" s="4">
        <v>5</v>
      </c>
      <c r="G317" s="4">
        <v>9</v>
      </c>
      <c r="H317" s="4">
        <v>2018</v>
      </c>
      <c r="I317" s="2" t="s">
        <v>198</v>
      </c>
      <c r="J317" s="3" t="s">
        <v>26</v>
      </c>
      <c r="K317" s="2">
        <v>0</v>
      </c>
      <c r="L317" s="2">
        <v>0</v>
      </c>
      <c r="M317" s="2">
        <v>0</v>
      </c>
      <c r="N317" s="2"/>
      <c r="O317" s="1" t="e">
        <f>(K317/(K317+ L317 +M317))</f>
        <v>#DIV/0!</v>
      </c>
      <c r="P317" s="1" t="e">
        <f>(L317/(K317+ L317 +M317))</f>
        <v>#DIV/0!</v>
      </c>
      <c r="Q317" s="1" t="e">
        <f>(M317/(K317+ L317 +M317))</f>
        <v>#DIV/0!</v>
      </c>
    </row>
    <row r="318" spans="1:17" ht="16" x14ac:dyDescent="0.2">
      <c r="A318" s="4">
        <v>188217</v>
      </c>
      <c r="B318" s="2" t="s">
        <v>197</v>
      </c>
      <c r="C318" s="2" t="s">
        <v>190</v>
      </c>
      <c r="D318" s="2" t="s">
        <v>8</v>
      </c>
      <c r="E318" s="2" t="s">
        <v>196</v>
      </c>
      <c r="F318" s="4">
        <v>30</v>
      </c>
      <c r="G318" s="4">
        <v>8</v>
      </c>
      <c r="H318" s="4">
        <v>2018</v>
      </c>
      <c r="I318" s="2" t="s">
        <v>195</v>
      </c>
      <c r="J318" s="3" t="s">
        <v>26</v>
      </c>
      <c r="K318" s="2">
        <v>0</v>
      </c>
      <c r="L318" s="2">
        <v>0</v>
      </c>
      <c r="M318" s="2">
        <v>0</v>
      </c>
      <c r="N318" s="2"/>
      <c r="O318" s="1" t="e">
        <f>(K318/(K318+ L318 +M318))</f>
        <v>#DIV/0!</v>
      </c>
      <c r="P318" s="1" t="e">
        <f>(L318/(K318+ L318 +M318))</f>
        <v>#DIV/0!</v>
      </c>
      <c r="Q318" s="1" t="e">
        <f>(M318/(K318+ L318 +M318))</f>
        <v>#DIV/0!</v>
      </c>
    </row>
    <row r="319" spans="1:17" ht="16" x14ac:dyDescent="0.2">
      <c r="A319" s="4">
        <v>188445</v>
      </c>
      <c r="B319" s="2" t="s">
        <v>194</v>
      </c>
      <c r="C319" s="2" t="s">
        <v>190</v>
      </c>
      <c r="D319" s="2" t="s">
        <v>8</v>
      </c>
      <c r="E319" s="2" t="s">
        <v>193</v>
      </c>
      <c r="F319" s="4">
        <v>20</v>
      </c>
      <c r="G319" s="4">
        <v>6</v>
      </c>
      <c r="H319" s="4">
        <v>2020</v>
      </c>
      <c r="I319" s="2" t="s">
        <v>192</v>
      </c>
      <c r="J319" s="3" t="s">
        <v>26</v>
      </c>
      <c r="K319" s="2">
        <v>0</v>
      </c>
      <c r="L319" s="2">
        <v>0</v>
      </c>
      <c r="M319" s="2">
        <v>0</v>
      </c>
      <c r="N319" s="2"/>
      <c r="O319" s="1" t="e">
        <f>(K319/(K319+ L319 +M319))</f>
        <v>#DIV/0!</v>
      </c>
      <c r="P319" s="1" t="e">
        <f>(L319/(K319+ L319 +M319))</f>
        <v>#DIV/0!</v>
      </c>
      <c r="Q319" s="1" t="e">
        <f>(M319/(K319+ L319 +M319))</f>
        <v>#DIV/0!</v>
      </c>
    </row>
    <row r="320" spans="1:17" ht="16" x14ac:dyDescent="0.2">
      <c r="A320" s="4">
        <v>188446</v>
      </c>
      <c r="B320" s="2" t="s">
        <v>191</v>
      </c>
      <c r="C320" s="2" t="s">
        <v>190</v>
      </c>
      <c r="D320" s="2" t="s">
        <v>8</v>
      </c>
      <c r="E320" s="2" t="s">
        <v>189</v>
      </c>
      <c r="F320" s="4">
        <v>20</v>
      </c>
      <c r="G320" s="4">
        <v>6</v>
      </c>
      <c r="H320" s="4">
        <v>2020</v>
      </c>
      <c r="I320" s="2" t="s">
        <v>188</v>
      </c>
      <c r="J320" s="3" t="s">
        <v>26</v>
      </c>
      <c r="K320" s="2">
        <v>0</v>
      </c>
      <c r="L320" s="2">
        <v>0</v>
      </c>
      <c r="M320" s="2">
        <v>0</v>
      </c>
      <c r="N320" s="2"/>
      <c r="O320" s="1" t="e">
        <f>(K320/(K320+ L320 +M320))</f>
        <v>#DIV/0!</v>
      </c>
      <c r="P320" s="1" t="e">
        <f>(L320/(K320+ L320 +M320))</f>
        <v>#DIV/0!</v>
      </c>
      <c r="Q320" s="1" t="e">
        <f>(M320/(K320+ L320 +M320))</f>
        <v>#DIV/0!</v>
      </c>
    </row>
    <row r="321" spans="1:17" ht="16" x14ac:dyDescent="0.2">
      <c r="A321" s="4">
        <v>187828</v>
      </c>
      <c r="B321" s="2" t="s">
        <v>187</v>
      </c>
      <c r="C321" s="2" t="s">
        <v>34</v>
      </c>
      <c r="D321" s="2" t="s">
        <v>8</v>
      </c>
      <c r="E321" s="2" t="s">
        <v>186</v>
      </c>
      <c r="F321" s="4">
        <v>25</v>
      </c>
      <c r="G321" s="4">
        <v>9</v>
      </c>
      <c r="H321" s="4">
        <v>2018</v>
      </c>
      <c r="I321" s="2" t="s">
        <v>32</v>
      </c>
      <c r="J321" s="3" t="s">
        <v>26</v>
      </c>
      <c r="K321" s="2">
        <v>0</v>
      </c>
      <c r="L321" s="2">
        <v>0</v>
      </c>
      <c r="M321" s="2">
        <v>0</v>
      </c>
      <c r="N321" s="2"/>
      <c r="O321" s="1" t="e">
        <f>(K321/(K321+ L321 +M321))</f>
        <v>#DIV/0!</v>
      </c>
      <c r="P321" s="1" t="e">
        <f>(L321/(K321+ L321 +M321))</f>
        <v>#DIV/0!</v>
      </c>
      <c r="Q321" s="1" t="e">
        <f>(M321/(K321+ L321 +M321))</f>
        <v>#DIV/0!</v>
      </c>
    </row>
    <row r="322" spans="1:17" ht="16" x14ac:dyDescent="0.2">
      <c r="A322" s="4">
        <v>188222</v>
      </c>
      <c r="B322" s="2" t="s">
        <v>185</v>
      </c>
      <c r="C322" s="2" t="s">
        <v>184</v>
      </c>
      <c r="D322" s="2" t="s">
        <v>8</v>
      </c>
      <c r="E322" s="2" t="s">
        <v>183</v>
      </c>
      <c r="F322" s="4">
        <v>25</v>
      </c>
      <c r="G322" s="4">
        <v>9</v>
      </c>
      <c r="H322" s="4">
        <v>2018</v>
      </c>
      <c r="I322" s="2" t="s">
        <v>182</v>
      </c>
      <c r="J322" s="3" t="s">
        <v>26</v>
      </c>
      <c r="K322" s="2">
        <v>0</v>
      </c>
      <c r="L322" s="2">
        <v>0</v>
      </c>
      <c r="M322" s="2">
        <v>0</v>
      </c>
      <c r="N322" s="2"/>
      <c r="O322" s="1" t="e">
        <f>(K322/(K322+ L322 +M322))</f>
        <v>#DIV/0!</v>
      </c>
      <c r="P322" s="1" t="e">
        <f>(L322/(K322+ L322 +M322))</f>
        <v>#DIV/0!</v>
      </c>
      <c r="Q322" s="1" t="e">
        <f>(M322/(K322+ L322 +M322))</f>
        <v>#DIV/0!</v>
      </c>
    </row>
    <row r="323" spans="1:17" ht="16" x14ac:dyDescent="0.2">
      <c r="A323" s="4">
        <v>187829</v>
      </c>
      <c r="B323" s="2" t="s">
        <v>181</v>
      </c>
      <c r="C323" s="2" t="s">
        <v>180</v>
      </c>
      <c r="D323" s="2" t="s">
        <v>8</v>
      </c>
      <c r="E323" s="2" t="s">
        <v>179</v>
      </c>
      <c r="F323" s="4">
        <v>25</v>
      </c>
      <c r="G323" s="4">
        <v>9</v>
      </c>
      <c r="H323" s="4">
        <v>2018</v>
      </c>
      <c r="I323" s="2" t="s">
        <v>178</v>
      </c>
      <c r="J323" s="3" t="s">
        <v>26</v>
      </c>
      <c r="K323" s="2">
        <v>0</v>
      </c>
      <c r="L323" s="2">
        <v>0</v>
      </c>
      <c r="M323" s="2">
        <v>2</v>
      </c>
      <c r="N323" s="2"/>
      <c r="O323" s="1">
        <f>(K323/(K323+ L323 +M323))</f>
        <v>0</v>
      </c>
      <c r="P323" s="1">
        <f>(L323/(K323+ L323 +M323))</f>
        <v>0</v>
      </c>
      <c r="Q323" s="1">
        <f>(M323/(K323+ L323 +M323))</f>
        <v>1</v>
      </c>
    </row>
    <row r="324" spans="1:17" ht="16" x14ac:dyDescent="0.2">
      <c r="A324" s="4">
        <v>188215</v>
      </c>
      <c r="B324" s="2" t="s">
        <v>177</v>
      </c>
      <c r="C324" s="2" t="s">
        <v>176</v>
      </c>
      <c r="D324" s="2" t="s">
        <v>8</v>
      </c>
      <c r="E324" s="2" t="s">
        <v>175</v>
      </c>
      <c r="F324" s="4">
        <v>30</v>
      </c>
      <c r="G324" s="4">
        <v>8</v>
      </c>
      <c r="H324" s="4">
        <v>2018</v>
      </c>
      <c r="I324" s="2" t="s">
        <v>174</v>
      </c>
      <c r="J324" s="3" t="s">
        <v>26</v>
      </c>
      <c r="K324" s="2">
        <v>0</v>
      </c>
      <c r="L324" s="2">
        <v>0</v>
      </c>
      <c r="M324" s="2">
        <v>11</v>
      </c>
      <c r="N324" s="2"/>
      <c r="O324" s="1">
        <f>(K324/(K324+ L324 +M324))</f>
        <v>0</v>
      </c>
      <c r="P324" s="1">
        <f>(L324/(K324+ L324 +M324))</f>
        <v>0</v>
      </c>
      <c r="Q324" s="1">
        <f>(M324/(K324+ L324 +M324))</f>
        <v>1</v>
      </c>
    </row>
    <row r="325" spans="1:17" ht="16" x14ac:dyDescent="0.2">
      <c r="A325" s="4">
        <v>188468</v>
      </c>
      <c r="B325" s="2" t="s">
        <v>173</v>
      </c>
      <c r="C325" s="2" t="s">
        <v>20</v>
      </c>
      <c r="D325" s="2" t="s">
        <v>8</v>
      </c>
      <c r="E325" s="2" t="s">
        <v>172</v>
      </c>
      <c r="F325" s="4">
        <v>4</v>
      </c>
      <c r="G325" s="4">
        <v>6</v>
      </c>
      <c r="H325" s="4">
        <v>2019</v>
      </c>
      <c r="I325" s="2" t="s">
        <v>171</v>
      </c>
      <c r="J325" s="3" t="s">
        <v>26</v>
      </c>
      <c r="K325" s="6">
        <v>61</v>
      </c>
      <c r="L325" s="6">
        <v>0</v>
      </c>
      <c r="M325" s="6">
        <v>0</v>
      </c>
      <c r="O325" s="1">
        <f>(K325/(K325+ L325 +M325))</f>
        <v>1</v>
      </c>
      <c r="P325" s="1">
        <f>(L325/(K325+ L325 +M325))</f>
        <v>0</v>
      </c>
      <c r="Q325" s="1">
        <f>(M325/(K325+ L325 +M325))</f>
        <v>0</v>
      </c>
    </row>
    <row r="326" spans="1:17" ht="16" x14ac:dyDescent="0.2">
      <c r="A326" s="4">
        <v>187836</v>
      </c>
      <c r="B326" s="2" t="s">
        <v>170</v>
      </c>
      <c r="C326" s="2" t="s">
        <v>166</v>
      </c>
      <c r="D326" s="2" t="s">
        <v>8</v>
      </c>
      <c r="E326" s="2" t="s">
        <v>169</v>
      </c>
      <c r="F326" s="4">
        <v>9</v>
      </c>
      <c r="G326" s="4">
        <v>8</v>
      </c>
      <c r="H326" s="4">
        <v>2018</v>
      </c>
      <c r="I326" s="2" t="s">
        <v>168</v>
      </c>
      <c r="J326" s="3" t="s">
        <v>26</v>
      </c>
      <c r="K326" s="6">
        <v>0</v>
      </c>
      <c r="L326" s="6">
        <v>0</v>
      </c>
      <c r="M326" s="6">
        <v>16</v>
      </c>
      <c r="O326" s="1">
        <f>(K326/(K326+ L326 +M326))</f>
        <v>0</v>
      </c>
      <c r="P326" s="1">
        <f>(L326/(K326+ L326 +M326))</f>
        <v>0</v>
      </c>
      <c r="Q326" s="1">
        <f>(M326/(K326+ L326 +M326))</f>
        <v>1</v>
      </c>
    </row>
    <row r="327" spans="1:17" ht="16" x14ac:dyDescent="0.2">
      <c r="A327" s="4">
        <v>188448</v>
      </c>
      <c r="B327" s="2" t="s">
        <v>167</v>
      </c>
      <c r="C327" s="2" t="s">
        <v>166</v>
      </c>
      <c r="D327" s="2" t="s">
        <v>8</v>
      </c>
      <c r="E327" s="2" t="s">
        <v>165</v>
      </c>
      <c r="F327" s="4">
        <v>13</v>
      </c>
      <c r="G327" s="4">
        <v>8</v>
      </c>
      <c r="H327" s="4">
        <v>2020</v>
      </c>
      <c r="I327" s="2" t="s">
        <v>164</v>
      </c>
      <c r="J327" s="3" t="s">
        <v>26</v>
      </c>
      <c r="K327" s="6">
        <v>0</v>
      </c>
      <c r="L327" s="6">
        <v>0</v>
      </c>
      <c r="M327" s="6">
        <v>0</v>
      </c>
      <c r="O327" s="1" t="e">
        <f>(K327/(K327+ L327 +M327))</f>
        <v>#DIV/0!</v>
      </c>
      <c r="P327" s="1" t="e">
        <f>(L327/(K327+ L327 +M327))</f>
        <v>#DIV/0!</v>
      </c>
      <c r="Q327" s="1" t="e">
        <f>(M327/(K327+ L327 +M327))</f>
        <v>#DIV/0!</v>
      </c>
    </row>
    <row r="328" spans="1:17" ht="16" x14ac:dyDescent="0.2">
      <c r="A328" s="4">
        <v>187832</v>
      </c>
      <c r="B328" s="2" t="s">
        <v>163</v>
      </c>
      <c r="C328" s="2" t="s">
        <v>162</v>
      </c>
      <c r="D328" s="2" t="s">
        <v>8</v>
      </c>
      <c r="E328" s="2" t="s">
        <v>161</v>
      </c>
      <c r="F328" s="4">
        <v>13</v>
      </c>
      <c r="G328" s="4">
        <v>9</v>
      </c>
      <c r="H328" s="4">
        <v>2018</v>
      </c>
      <c r="I328" s="2" t="s">
        <v>123</v>
      </c>
      <c r="J328" s="3" t="s">
        <v>26</v>
      </c>
      <c r="K328" s="6">
        <v>0</v>
      </c>
      <c r="L328" s="6">
        <v>0</v>
      </c>
      <c r="M328" s="6">
        <v>0</v>
      </c>
      <c r="O328" s="1" t="e">
        <f>(K328/(K328+ L328 +M328))</f>
        <v>#DIV/0!</v>
      </c>
      <c r="P328" s="1" t="e">
        <f>(L328/(K328+ L328 +M328))</f>
        <v>#DIV/0!</v>
      </c>
      <c r="Q328" s="1" t="e">
        <f>(M328/(K328+ L328 +M328))</f>
        <v>#DIV/0!</v>
      </c>
    </row>
    <row r="329" spans="1:17" ht="16" x14ac:dyDescent="0.2">
      <c r="A329" s="4">
        <v>188449</v>
      </c>
      <c r="B329" s="2" t="s">
        <v>160</v>
      </c>
      <c r="C329" s="2" t="s">
        <v>15</v>
      </c>
      <c r="D329" s="2" t="s">
        <v>8</v>
      </c>
      <c r="E329" s="2" t="s">
        <v>159</v>
      </c>
      <c r="F329" s="4">
        <v>2</v>
      </c>
      <c r="G329" s="4">
        <v>7</v>
      </c>
      <c r="H329" s="4">
        <v>2018</v>
      </c>
      <c r="I329" s="2" t="s">
        <v>158</v>
      </c>
      <c r="J329" s="3" t="s">
        <v>26</v>
      </c>
      <c r="K329" s="6">
        <v>0</v>
      </c>
      <c r="L329" s="6">
        <v>0</v>
      </c>
      <c r="M329" s="6">
        <v>28</v>
      </c>
      <c r="O329" s="1">
        <f>(K329/(K329+ L329 +M329))</f>
        <v>0</v>
      </c>
      <c r="P329" s="1">
        <f>(L329/(K329+ L329 +M329))</f>
        <v>0</v>
      </c>
      <c r="Q329" s="1">
        <f>(M329/(K329+ L329 +M329))</f>
        <v>1</v>
      </c>
    </row>
    <row r="330" spans="1:17" ht="16" x14ac:dyDescent="0.2">
      <c r="A330" s="4">
        <v>187827</v>
      </c>
      <c r="B330" s="2" t="s">
        <v>157</v>
      </c>
      <c r="C330" s="2" t="s">
        <v>12</v>
      </c>
      <c r="D330" s="2" t="s">
        <v>8</v>
      </c>
      <c r="E330" s="2" t="s">
        <v>156</v>
      </c>
      <c r="F330" s="4">
        <v>13</v>
      </c>
      <c r="G330" s="4">
        <v>9</v>
      </c>
      <c r="H330" s="4">
        <v>2018</v>
      </c>
      <c r="I330" s="2" t="s">
        <v>123</v>
      </c>
      <c r="J330" s="3" t="s">
        <v>26</v>
      </c>
      <c r="K330" s="6">
        <v>0</v>
      </c>
      <c r="L330" s="6">
        <v>0</v>
      </c>
      <c r="M330" s="6">
        <v>0</v>
      </c>
      <c r="O330" s="1" t="e">
        <f>(K330/(K330+ L330 +M330))</f>
        <v>#DIV/0!</v>
      </c>
      <c r="P330" s="1" t="e">
        <f>(L330/(K330+ L330 +M330))</f>
        <v>#DIV/0!</v>
      </c>
      <c r="Q330" s="1" t="e">
        <f>(M330/(K330+ L330 +M330))</f>
        <v>#DIV/0!</v>
      </c>
    </row>
    <row r="331" spans="1:17" ht="16" x14ac:dyDescent="0.2">
      <c r="A331" s="4">
        <v>188242</v>
      </c>
      <c r="B331" s="2" t="s">
        <v>155</v>
      </c>
      <c r="C331" s="2" t="s">
        <v>12</v>
      </c>
      <c r="D331" s="2" t="s">
        <v>81</v>
      </c>
      <c r="E331" s="2" t="s">
        <v>154</v>
      </c>
      <c r="F331" s="4">
        <v>26</v>
      </c>
      <c r="G331" s="4">
        <v>6</v>
      </c>
      <c r="H331" s="4">
        <v>2019</v>
      </c>
      <c r="I331" s="2" t="s">
        <v>140</v>
      </c>
      <c r="J331" s="3" t="s">
        <v>26</v>
      </c>
      <c r="K331" s="6">
        <v>39</v>
      </c>
      <c r="L331" s="6">
        <v>33</v>
      </c>
      <c r="M331" s="6">
        <v>0</v>
      </c>
      <c r="O331" s="1">
        <f>(K331/(K331+ L331 +M331))</f>
        <v>0.54166666666666663</v>
      </c>
      <c r="P331" s="1">
        <f>(L331/(K331+ L331 +M331))</f>
        <v>0.45833333333333331</v>
      </c>
      <c r="Q331" s="1">
        <f>(M331/(K331+ L331 +M331))</f>
        <v>0</v>
      </c>
    </row>
    <row r="332" spans="1:17" ht="16" x14ac:dyDescent="0.2">
      <c r="A332" s="4">
        <v>188447</v>
      </c>
      <c r="B332" s="2" t="s">
        <v>153</v>
      </c>
      <c r="C332" s="2" t="s">
        <v>12</v>
      </c>
      <c r="D332" s="2" t="s">
        <v>8</v>
      </c>
      <c r="E332" s="2" t="s">
        <v>152</v>
      </c>
      <c r="F332" s="4">
        <v>9</v>
      </c>
      <c r="G332" s="4">
        <v>7</v>
      </c>
      <c r="H332" s="4">
        <v>2020</v>
      </c>
      <c r="I332" s="2" t="s">
        <v>10</v>
      </c>
      <c r="J332" s="3" t="s">
        <v>26</v>
      </c>
      <c r="K332" s="6">
        <v>0</v>
      </c>
      <c r="L332" s="6">
        <v>0</v>
      </c>
      <c r="M332" s="6">
        <v>0</v>
      </c>
      <c r="O332" s="1" t="e">
        <f>(K332/(K332+ L332 +M332))</f>
        <v>#DIV/0!</v>
      </c>
      <c r="P332" s="1" t="e">
        <f>(L332/(K332+ L332 +M332))</f>
        <v>#DIV/0!</v>
      </c>
      <c r="Q332" s="1" t="e">
        <f>(M332/(K332+ L332 +M332))</f>
        <v>#DIV/0!</v>
      </c>
    </row>
    <row r="333" spans="1:17" ht="16" x14ac:dyDescent="0.2">
      <c r="A333" s="4">
        <v>187842</v>
      </c>
      <c r="B333" s="2" t="s">
        <v>151</v>
      </c>
      <c r="C333" s="2" t="s">
        <v>43</v>
      </c>
      <c r="D333" s="2" t="s">
        <v>8</v>
      </c>
      <c r="E333" s="2" t="s">
        <v>150</v>
      </c>
      <c r="F333" s="4">
        <v>28</v>
      </c>
      <c r="G333" s="4">
        <v>8</v>
      </c>
      <c r="H333" s="4">
        <v>2018</v>
      </c>
      <c r="I333" s="2" t="s">
        <v>149</v>
      </c>
      <c r="J333" s="3" t="s">
        <v>26</v>
      </c>
      <c r="K333" s="6">
        <v>0</v>
      </c>
      <c r="L333" s="6">
        <v>0</v>
      </c>
      <c r="M333" s="6">
        <v>0</v>
      </c>
      <c r="O333" s="1" t="e">
        <f>(K333/(K333+ L333 +M333))</f>
        <v>#DIV/0!</v>
      </c>
      <c r="P333" s="1" t="e">
        <f>(L333/(K333+ L333 +M333))</f>
        <v>#DIV/0!</v>
      </c>
      <c r="Q333" s="1" t="e">
        <f>(M333/(K333+ L333 +M333))</f>
        <v>#DIV/0!</v>
      </c>
    </row>
    <row r="334" spans="1:17" ht="16" x14ac:dyDescent="0.2">
      <c r="A334" s="4">
        <v>187826</v>
      </c>
      <c r="B334" s="2" t="s">
        <v>148</v>
      </c>
      <c r="C334" s="2" t="s">
        <v>43</v>
      </c>
      <c r="D334" s="2" t="s">
        <v>8</v>
      </c>
      <c r="E334" s="2" t="s">
        <v>147</v>
      </c>
      <c r="F334" s="4">
        <v>13</v>
      </c>
      <c r="G334" s="4">
        <v>9</v>
      </c>
      <c r="H334" s="4">
        <v>2018</v>
      </c>
      <c r="I334" s="2" t="s">
        <v>146</v>
      </c>
      <c r="J334" s="3" t="s">
        <v>26</v>
      </c>
      <c r="K334" s="6">
        <v>0</v>
      </c>
      <c r="L334" s="6">
        <v>0</v>
      </c>
      <c r="M334" s="6">
        <v>0</v>
      </c>
      <c r="O334" s="1" t="e">
        <f>(K334/(K334+ L334 +M334))</f>
        <v>#DIV/0!</v>
      </c>
      <c r="P334" s="1" t="e">
        <f>(L334/(K334+ L334 +M334))</f>
        <v>#DIV/0!</v>
      </c>
      <c r="Q334" s="1" t="e">
        <f>(M334/(K334+ L334 +M334))</f>
        <v>#DIV/0!</v>
      </c>
    </row>
    <row r="335" spans="1:17" ht="16" x14ac:dyDescent="0.2">
      <c r="A335" s="4">
        <v>187833</v>
      </c>
      <c r="B335" s="2" t="s">
        <v>145</v>
      </c>
      <c r="C335" s="2" t="s">
        <v>43</v>
      </c>
      <c r="D335" s="2" t="s">
        <v>8</v>
      </c>
      <c r="E335" s="2" t="s">
        <v>144</v>
      </c>
      <c r="F335" s="4">
        <v>2</v>
      </c>
      <c r="G335" s="4">
        <v>7</v>
      </c>
      <c r="H335" s="4">
        <v>2018</v>
      </c>
      <c r="I335" s="2" t="s">
        <v>143</v>
      </c>
      <c r="J335" s="3" t="s">
        <v>26</v>
      </c>
      <c r="K335" s="6">
        <v>0</v>
      </c>
      <c r="L335" s="6">
        <v>0</v>
      </c>
      <c r="M335" s="6">
        <v>0</v>
      </c>
      <c r="O335" s="1" t="e">
        <f>(K335/(K335+ L335 +M335))</f>
        <v>#DIV/0!</v>
      </c>
      <c r="P335" s="1" t="e">
        <f>(L335/(K335+ L335 +M335))</f>
        <v>#DIV/0!</v>
      </c>
      <c r="Q335" s="1" t="e">
        <f>(M335/(K335+ L335 +M335))</f>
        <v>#DIV/0!</v>
      </c>
    </row>
    <row r="336" spans="1:17" ht="16" x14ac:dyDescent="0.2">
      <c r="A336" s="4">
        <v>187834</v>
      </c>
      <c r="B336" s="2" t="s">
        <v>142</v>
      </c>
      <c r="C336" s="2" t="s">
        <v>43</v>
      </c>
      <c r="D336" s="2" t="s">
        <v>8</v>
      </c>
      <c r="E336" s="2" t="s">
        <v>141</v>
      </c>
      <c r="F336" s="4">
        <v>3</v>
      </c>
      <c r="G336" s="4">
        <v>8</v>
      </c>
      <c r="H336" s="4">
        <v>2018</v>
      </c>
      <c r="I336" s="2" t="s">
        <v>140</v>
      </c>
      <c r="J336" s="3" t="s">
        <v>26</v>
      </c>
      <c r="K336" s="6">
        <v>0</v>
      </c>
      <c r="L336" s="6">
        <v>0</v>
      </c>
      <c r="M336" s="6">
        <v>23</v>
      </c>
      <c r="O336" s="1">
        <f>(K336/(K336+ L336 +M336))</f>
        <v>0</v>
      </c>
      <c r="P336" s="1">
        <f>(L336/(K336+ L336 +M336))</f>
        <v>0</v>
      </c>
      <c r="Q336" s="1">
        <f>(M336/(K336+ L336 +M336))</f>
        <v>1</v>
      </c>
    </row>
    <row r="337" spans="1:17" ht="16" x14ac:dyDescent="0.2">
      <c r="A337" s="4">
        <v>187837</v>
      </c>
      <c r="B337" s="2" t="s">
        <v>139</v>
      </c>
      <c r="C337" s="2" t="s">
        <v>9</v>
      </c>
      <c r="D337" s="2" t="s">
        <v>8</v>
      </c>
      <c r="E337" s="2" t="s">
        <v>138</v>
      </c>
      <c r="F337" s="4">
        <v>16</v>
      </c>
      <c r="G337" s="4">
        <v>8</v>
      </c>
      <c r="H337" s="4">
        <v>2018</v>
      </c>
      <c r="I337" s="2" t="s">
        <v>137</v>
      </c>
      <c r="J337" s="3" t="s">
        <v>26</v>
      </c>
      <c r="K337" s="6">
        <v>0</v>
      </c>
      <c r="L337" s="6">
        <v>0</v>
      </c>
      <c r="M337" s="6">
        <v>8</v>
      </c>
      <c r="O337" s="1">
        <f>(K337/(K337+ L337 +M337))</f>
        <v>0</v>
      </c>
      <c r="P337" s="1">
        <f>(L337/(K337+ L337 +M337))</f>
        <v>0</v>
      </c>
      <c r="Q337" s="1">
        <f>(M337/(K337+ L337 +M337))</f>
        <v>1</v>
      </c>
    </row>
    <row r="338" spans="1:17" ht="16" x14ac:dyDescent="0.2">
      <c r="A338" s="4">
        <v>188236</v>
      </c>
      <c r="B338" s="2" t="s">
        <v>136</v>
      </c>
      <c r="C338" s="2" t="s">
        <v>9</v>
      </c>
      <c r="D338" s="2" t="s">
        <v>111</v>
      </c>
      <c r="E338" s="2" t="s">
        <v>135</v>
      </c>
      <c r="F338" s="4">
        <v>3</v>
      </c>
      <c r="G338" s="4">
        <v>7</v>
      </c>
      <c r="H338" s="4">
        <v>2019</v>
      </c>
      <c r="I338" s="2" t="s">
        <v>134</v>
      </c>
      <c r="J338" s="3" t="s">
        <v>26</v>
      </c>
      <c r="K338" s="6">
        <v>0</v>
      </c>
      <c r="L338" s="6">
        <v>0</v>
      </c>
      <c r="M338" s="6">
        <v>0</v>
      </c>
      <c r="O338" s="1" t="e">
        <f>(K338/(K338+ L338 +M338))</f>
        <v>#DIV/0!</v>
      </c>
      <c r="P338" s="1" t="e">
        <f>(L338/(K338+ L338 +M338))</f>
        <v>#DIV/0!</v>
      </c>
      <c r="Q338" s="1" t="e">
        <f>(M338/(K338+ L338 +M338))</f>
        <v>#DIV/0!</v>
      </c>
    </row>
    <row r="339" spans="1:17" ht="16" x14ac:dyDescent="0.2">
      <c r="A339" s="4">
        <v>188450</v>
      </c>
      <c r="B339" s="2" t="s">
        <v>133</v>
      </c>
      <c r="C339" s="2" t="s">
        <v>129</v>
      </c>
      <c r="D339" s="2" t="s">
        <v>111</v>
      </c>
      <c r="E339" s="2" t="s">
        <v>132</v>
      </c>
      <c r="F339" s="4">
        <v>5</v>
      </c>
      <c r="G339" s="4">
        <v>6</v>
      </c>
      <c r="H339" s="4">
        <v>2019</v>
      </c>
      <c r="I339" s="2" t="s">
        <v>131</v>
      </c>
      <c r="J339" s="3" t="s">
        <v>26</v>
      </c>
      <c r="K339" s="6">
        <v>0</v>
      </c>
      <c r="L339" s="6">
        <v>0</v>
      </c>
      <c r="M339" s="6">
        <v>0</v>
      </c>
      <c r="O339" s="1" t="e">
        <f>(K339/(K339+ L339 +M339))</f>
        <v>#DIV/0!</v>
      </c>
      <c r="P339" s="1" t="e">
        <f>(L339/(K339+ L339 +M339))</f>
        <v>#DIV/0!</v>
      </c>
      <c r="Q339" s="1" t="e">
        <f>(M339/(K339+ L339 +M339))</f>
        <v>#DIV/0!</v>
      </c>
    </row>
    <row r="340" spans="1:17" ht="16" x14ac:dyDescent="0.2">
      <c r="A340" s="4">
        <v>187824</v>
      </c>
      <c r="B340" s="2" t="s">
        <v>130</v>
      </c>
      <c r="C340" s="2" t="s">
        <v>129</v>
      </c>
      <c r="D340" s="2" t="s">
        <v>8</v>
      </c>
      <c r="E340" s="2" t="s">
        <v>128</v>
      </c>
      <c r="F340" s="4">
        <v>9</v>
      </c>
      <c r="G340" s="4">
        <v>8</v>
      </c>
      <c r="H340" s="4">
        <v>2018</v>
      </c>
      <c r="I340" s="2" t="s">
        <v>127</v>
      </c>
      <c r="J340" s="3" t="s">
        <v>26</v>
      </c>
      <c r="K340" s="6">
        <v>0</v>
      </c>
      <c r="L340" s="6">
        <v>0</v>
      </c>
      <c r="M340" s="6">
        <v>12</v>
      </c>
      <c r="O340" s="1">
        <f>(K340/(K340+ L340 +M340))</f>
        <v>0</v>
      </c>
      <c r="P340" s="1">
        <f>(L340/(K340+ L340 +M340))</f>
        <v>0</v>
      </c>
      <c r="Q340" s="1">
        <f>(M340/(K340+ L340 +M340))</f>
        <v>1</v>
      </c>
    </row>
    <row r="341" spans="1:17" ht="16" x14ac:dyDescent="0.2">
      <c r="A341" s="4">
        <v>188221</v>
      </c>
      <c r="B341" s="2" t="s">
        <v>126</v>
      </c>
      <c r="C341" s="2" t="s">
        <v>125</v>
      </c>
      <c r="D341" s="2" t="s">
        <v>8</v>
      </c>
      <c r="E341" s="2" t="s">
        <v>124</v>
      </c>
      <c r="F341" s="4">
        <v>13</v>
      </c>
      <c r="G341" s="4">
        <v>9</v>
      </c>
      <c r="H341" s="4">
        <v>2018</v>
      </c>
      <c r="I341" s="2" t="s">
        <v>123</v>
      </c>
      <c r="J341" s="3" t="s">
        <v>26</v>
      </c>
      <c r="K341" s="6">
        <v>0</v>
      </c>
      <c r="L341" s="6">
        <v>0</v>
      </c>
      <c r="M341" s="6">
        <v>0</v>
      </c>
      <c r="O341" s="1" t="e">
        <f>(K341/(K341+ L341 +M341))</f>
        <v>#DIV/0!</v>
      </c>
      <c r="P341" s="1" t="e">
        <f>(L341/(K341+ L341 +M341))</f>
        <v>#DIV/0!</v>
      </c>
      <c r="Q341" s="1" t="e">
        <f>(M341/(K341+ L341 +M341))</f>
        <v>#DIV/0!</v>
      </c>
    </row>
    <row r="342" spans="1:17" ht="16" x14ac:dyDescent="0.2">
      <c r="A342" s="4">
        <v>188452</v>
      </c>
      <c r="B342" s="2" t="s">
        <v>122</v>
      </c>
      <c r="C342" s="2" t="s">
        <v>121</v>
      </c>
      <c r="D342" s="2" t="s">
        <v>8</v>
      </c>
      <c r="E342" s="2" t="s">
        <v>120</v>
      </c>
      <c r="F342" s="4">
        <v>16</v>
      </c>
      <c r="G342" s="4">
        <v>8</v>
      </c>
      <c r="H342" s="4">
        <v>2018</v>
      </c>
      <c r="I342" s="2" t="s">
        <v>119</v>
      </c>
      <c r="J342" s="3" t="s">
        <v>26</v>
      </c>
      <c r="K342" s="6">
        <v>0</v>
      </c>
      <c r="L342" s="6">
        <v>0</v>
      </c>
      <c r="M342" s="6">
        <v>0</v>
      </c>
      <c r="O342" s="1" t="e">
        <f>(K342/(K342+ L342 +M342))</f>
        <v>#DIV/0!</v>
      </c>
      <c r="P342" s="1" t="e">
        <f>(L342/(K342+ L342 +M342))</f>
        <v>#DIV/0!</v>
      </c>
      <c r="Q342" s="1" t="e">
        <f>(M342/(K342+ L342 +M342))</f>
        <v>#DIV/0!</v>
      </c>
    </row>
    <row r="343" spans="1:17" ht="16" x14ac:dyDescent="0.2">
      <c r="A343" s="4">
        <v>188451</v>
      </c>
      <c r="B343" s="2" t="s">
        <v>118</v>
      </c>
      <c r="C343" s="2" t="s">
        <v>39</v>
      </c>
      <c r="D343" s="2" t="s">
        <v>8</v>
      </c>
      <c r="E343" s="2" t="s">
        <v>117</v>
      </c>
      <c r="F343" s="4">
        <v>16</v>
      </c>
      <c r="G343" s="4">
        <v>8</v>
      </c>
      <c r="H343" s="4">
        <v>2018</v>
      </c>
      <c r="I343" s="2" t="s">
        <v>116</v>
      </c>
      <c r="J343" s="3" t="s">
        <v>26</v>
      </c>
      <c r="K343" s="6">
        <v>0</v>
      </c>
      <c r="L343" s="6">
        <v>0</v>
      </c>
      <c r="M343" s="6">
        <v>0</v>
      </c>
      <c r="O343" s="1" t="e">
        <f>(K343/(K343+ L343 +M343))</f>
        <v>#DIV/0!</v>
      </c>
      <c r="P343" s="1" t="e">
        <f>(L343/(K343+ L343 +M343))</f>
        <v>#DIV/0!</v>
      </c>
      <c r="Q343" s="1" t="e">
        <f>(M343/(K343+ L343 +M343))</f>
        <v>#DIV/0!</v>
      </c>
    </row>
    <row r="344" spans="1:17" ht="16" x14ac:dyDescent="0.2">
      <c r="A344" s="4">
        <v>188235</v>
      </c>
      <c r="B344" s="2" t="s">
        <v>115</v>
      </c>
      <c r="C344" s="2" t="s">
        <v>39</v>
      </c>
      <c r="D344" s="2" t="s">
        <v>23</v>
      </c>
      <c r="E344" s="2" t="s">
        <v>114</v>
      </c>
      <c r="F344" s="4">
        <v>27</v>
      </c>
      <c r="G344" s="4">
        <v>6</v>
      </c>
      <c r="H344" s="4">
        <v>2019</v>
      </c>
      <c r="I344" s="2" t="s">
        <v>113</v>
      </c>
      <c r="J344" s="3" t="s">
        <v>26</v>
      </c>
      <c r="K344" s="6">
        <v>0</v>
      </c>
      <c r="L344" s="6">
        <v>0</v>
      </c>
      <c r="M344" s="6">
        <v>0</v>
      </c>
      <c r="O344" s="1" t="e">
        <f>(K344/(K344+ L344 +M344))</f>
        <v>#DIV/0!</v>
      </c>
      <c r="P344" s="1" t="e">
        <f>(L344/(K344+ L344 +M344))</f>
        <v>#DIV/0!</v>
      </c>
      <c r="Q344" s="1" t="e">
        <f>(M344/(K344+ L344 +M344))</f>
        <v>#DIV/0!</v>
      </c>
    </row>
    <row r="345" spans="1:17" ht="16" x14ac:dyDescent="0.2">
      <c r="A345" s="4">
        <v>188231</v>
      </c>
      <c r="B345" s="2" t="s">
        <v>112</v>
      </c>
      <c r="C345" s="2" t="s">
        <v>39</v>
      </c>
      <c r="D345" s="2" t="s">
        <v>111</v>
      </c>
      <c r="E345" s="2" t="s">
        <v>110</v>
      </c>
      <c r="F345" s="4">
        <v>5</v>
      </c>
      <c r="G345" s="4">
        <v>6</v>
      </c>
      <c r="H345" s="4">
        <v>2019</v>
      </c>
      <c r="I345" s="2" t="s">
        <v>109</v>
      </c>
      <c r="J345" s="3" t="s">
        <v>26</v>
      </c>
      <c r="K345" s="6">
        <v>51</v>
      </c>
      <c r="L345" s="6">
        <v>0</v>
      </c>
      <c r="M345" s="6">
        <v>0</v>
      </c>
      <c r="O345" s="1">
        <f>(K345/(K345+ L345 +M345))</f>
        <v>1</v>
      </c>
      <c r="P345" s="1">
        <f>(L345/(K345+ L345 +M345))</f>
        <v>0</v>
      </c>
      <c r="Q345" s="1">
        <f>(M345/(K345+ L345 +M345))</f>
        <v>0</v>
      </c>
    </row>
    <row r="346" spans="1:17" ht="16" x14ac:dyDescent="0.2">
      <c r="A346" s="4">
        <v>187825</v>
      </c>
      <c r="B346" s="2" t="s">
        <v>108</v>
      </c>
      <c r="C346" s="2" t="s">
        <v>107</v>
      </c>
      <c r="D346" s="2" t="s">
        <v>8</v>
      </c>
      <c r="E346" s="2" t="s">
        <v>106</v>
      </c>
      <c r="F346" s="4">
        <v>16</v>
      </c>
      <c r="G346" s="4">
        <v>8</v>
      </c>
      <c r="H346" s="4">
        <v>2018</v>
      </c>
      <c r="I346" s="2" t="s">
        <v>105</v>
      </c>
      <c r="J346" s="3" t="s">
        <v>26</v>
      </c>
      <c r="K346" s="6">
        <v>0</v>
      </c>
      <c r="L346" s="6">
        <v>0</v>
      </c>
      <c r="M346" s="6">
        <v>0</v>
      </c>
      <c r="O346" s="1" t="e">
        <f>(K346/(K346+ L346 +M346))</f>
        <v>#DIV/0!</v>
      </c>
      <c r="P346" s="1" t="e">
        <f>(L346/(K346+ L346 +M346))</f>
        <v>#DIV/0!</v>
      </c>
      <c r="Q346" s="1" t="e">
        <f>(M346/(K346+ L346 +M346))</f>
        <v>#DIV/0!</v>
      </c>
    </row>
    <row r="347" spans="1:17" ht="16" x14ac:dyDescent="0.2">
      <c r="A347" s="4">
        <v>187843</v>
      </c>
      <c r="B347" s="2" t="s">
        <v>104</v>
      </c>
      <c r="C347" s="2" t="s">
        <v>103</v>
      </c>
      <c r="D347" s="2" t="s">
        <v>8</v>
      </c>
      <c r="E347" s="2" t="s">
        <v>102</v>
      </c>
      <c r="F347" s="4">
        <v>28</v>
      </c>
      <c r="G347" s="4">
        <v>8</v>
      </c>
      <c r="H347" s="4">
        <v>2018</v>
      </c>
      <c r="I347" s="2" t="s">
        <v>101</v>
      </c>
      <c r="J347" s="3" t="s">
        <v>26</v>
      </c>
      <c r="K347" s="6">
        <v>0</v>
      </c>
      <c r="L347" s="6">
        <v>0</v>
      </c>
      <c r="M347" s="6">
        <v>0</v>
      </c>
      <c r="O347" s="1" t="e">
        <f>(K347/(K347+ L347 +M347))</f>
        <v>#DIV/0!</v>
      </c>
      <c r="P347" s="1" t="e">
        <f>(L347/(K347+ L347 +M347))</f>
        <v>#DIV/0!</v>
      </c>
      <c r="Q347" s="1" t="e">
        <f>(M347/(K347+ L347 +M347))</f>
        <v>#DIV/0!</v>
      </c>
    </row>
    <row r="348" spans="1:17" ht="16" x14ac:dyDescent="0.2">
      <c r="A348" s="4">
        <v>187839</v>
      </c>
      <c r="B348" s="2" t="s">
        <v>100</v>
      </c>
      <c r="C348" s="2" t="s">
        <v>99</v>
      </c>
      <c r="D348" s="2" t="s">
        <v>8</v>
      </c>
      <c r="E348" s="2" t="s">
        <v>98</v>
      </c>
      <c r="F348" s="4">
        <v>16</v>
      </c>
      <c r="G348" s="4">
        <v>8</v>
      </c>
      <c r="H348" s="4">
        <v>2018</v>
      </c>
      <c r="I348" s="2" t="s">
        <v>97</v>
      </c>
      <c r="J348" s="3" t="s">
        <v>26</v>
      </c>
      <c r="K348" s="6">
        <v>0</v>
      </c>
      <c r="L348" s="6">
        <v>0</v>
      </c>
      <c r="M348" s="6">
        <v>0</v>
      </c>
      <c r="O348" s="1" t="e">
        <f>(K348/(K348+ L348 +M348))</f>
        <v>#DIV/0!</v>
      </c>
      <c r="P348" s="1" t="e">
        <f>(L348/(K348+ L348 +M348))</f>
        <v>#DIV/0!</v>
      </c>
      <c r="Q348" s="1" t="e">
        <f>(M348/(K348+ L348 +M348))</f>
        <v>#DIV/0!</v>
      </c>
    </row>
    <row r="349" spans="1:17" ht="16" x14ac:dyDescent="0.2">
      <c r="A349" s="4">
        <v>188465</v>
      </c>
      <c r="B349" s="2" t="s">
        <v>96</v>
      </c>
      <c r="C349" s="2" t="s">
        <v>95</v>
      </c>
      <c r="D349" s="2" t="s">
        <v>8</v>
      </c>
      <c r="E349" s="2" t="s">
        <v>94</v>
      </c>
      <c r="F349" s="4">
        <v>25</v>
      </c>
      <c r="G349" s="4">
        <v>9</v>
      </c>
      <c r="H349" s="4">
        <v>2018</v>
      </c>
      <c r="I349" s="2" t="s">
        <v>93</v>
      </c>
      <c r="J349" s="3" t="s">
        <v>26</v>
      </c>
      <c r="K349" s="6">
        <v>0</v>
      </c>
      <c r="L349" s="6">
        <v>0</v>
      </c>
      <c r="M349" s="6">
        <v>1</v>
      </c>
      <c r="O349" s="1">
        <f>(K349/(K349+ L349 +M349))</f>
        <v>0</v>
      </c>
      <c r="P349" s="1">
        <f>(L349/(K349+ L349 +M349))</f>
        <v>0</v>
      </c>
      <c r="Q349" s="1">
        <f>(M349/(K349+ L349 +M349))</f>
        <v>1</v>
      </c>
    </row>
    <row r="350" spans="1:17" ht="16" x14ac:dyDescent="0.2">
      <c r="A350" s="4">
        <v>187835</v>
      </c>
      <c r="B350" s="2" t="s">
        <v>92</v>
      </c>
      <c r="C350" s="2" t="s">
        <v>30</v>
      </c>
      <c r="D350" s="2" t="s">
        <v>8</v>
      </c>
      <c r="E350" s="2" t="s">
        <v>91</v>
      </c>
      <c r="F350" s="4">
        <v>3</v>
      </c>
      <c r="G350" s="4">
        <v>8</v>
      </c>
      <c r="H350" s="4">
        <v>2018</v>
      </c>
      <c r="I350" s="2" t="s">
        <v>90</v>
      </c>
      <c r="J350" s="3" t="s">
        <v>26</v>
      </c>
      <c r="K350" s="6">
        <v>0</v>
      </c>
      <c r="L350" s="6">
        <v>0</v>
      </c>
      <c r="M350" s="6">
        <v>3</v>
      </c>
      <c r="O350" s="1">
        <f>(K350/(K350+ L350 +M350))</f>
        <v>0</v>
      </c>
      <c r="P350" s="1">
        <f>(L350/(K350+ L350 +M350))</f>
        <v>0</v>
      </c>
      <c r="Q350" s="1">
        <f>(M350/(K350+ L350 +M350))</f>
        <v>1</v>
      </c>
    </row>
    <row r="351" spans="1:17" ht="16" x14ac:dyDescent="0.2">
      <c r="A351" s="4">
        <v>188239</v>
      </c>
      <c r="B351" s="2" t="s">
        <v>89</v>
      </c>
      <c r="C351" s="2" t="s">
        <v>30</v>
      </c>
      <c r="D351" s="2" t="s">
        <v>23</v>
      </c>
      <c r="E351" s="2" t="s">
        <v>88</v>
      </c>
      <c r="F351" s="4">
        <v>27</v>
      </c>
      <c r="G351" s="4">
        <v>6</v>
      </c>
      <c r="H351" s="4">
        <v>2019</v>
      </c>
      <c r="I351" s="2" t="s">
        <v>87</v>
      </c>
      <c r="J351" s="3" t="s">
        <v>26</v>
      </c>
      <c r="K351" s="6">
        <v>0</v>
      </c>
      <c r="L351" s="6">
        <v>1</v>
      </c>
      <c r="M351" s="6">
        <v>7</v>
      </c>
      <c r="O351" s="1">
        <f>(K351/(K351+ L351 +M351))</f>
        <v>0</v>
      </c>
      <c r="P351" s="1">
        <f>(L351/(K351+ L351 +M351))</f>
        <v>0.125</v>
      </c>
      <c r="Q351" s="1">
        <f>(M351/(K351+ L351 +M351))</f>
        <v>0.875</v>
      </c>
    </row>
    <row r="352" spans="1:17" ht="16" x14ac:dyDescent="0.2">
      <c r="A352" s="4">
        <v>187838</v>
      </c>
      <c r="B352" s="2" t="s">
        <v>86</v>
      </c>
      <c r="C352" s="2" t="s">
        <v>82</v>
      </c>
      <c r="D352" s="2" t="s">
        <v>8</v>
      </c>
      <c r="E352" s="2" t="s">
        <v>85</v>
      </c>
      <c r="F352" s="4">
        <v>16</v>
      </c>
      <c r="G352" s="4">
        <v>8</v>
      </c>
      <c r="H352" s="4">
        <v>2018</v>
      </c>
      <c r="I352" s="2" t="s">
        <v>84</v>
      </c>
      <c r="J352" s="3" t="s">
        <v>26</v>
      </c>
      <c r="K352" s="6">
        <v>0</v>
      </c>
      <c r="L352" s="6">
        <v>0</v>
      </c>
      <c r="M352" s="6">
        <v>0</v>
      </c>
      <c r="O352" s="1" t="e">
        <f>(K352/(K352+ L352 +M352))</f>
        <v>#DIV/0!</v>
      </c>
      <c r="P352" s="1" t="e">
        <f>(L352/(K352+ L352 +M352))</f>
        <v>#DIV/0!</v>
      </c>
      <c r="Q352" s="1" t="e">
        <f>(M352/(K352+ L352 +M352))</f>
        <v>#DIV/0!</v>
      </c>
    </row>
    <row r="353" spans="1:17" ht="16" x14ac:dyDescent="0.2">
      <c r="A353" s="4">
        <v>188237</v>
      </c>
      <c r="B353" s="2" t="s">
        <v>83</v>
      </c>
      <c r="C353" s="2" t="s">
        <v>82</v>
      </c>
      <c r="D353" s="2" t="s">
        <v>81</v>
      </c>
      <c r="E353" s="2" t="s">
        <v>80</v>
      </c>
      <c r="F353" s="4">
        <v>10</v>
      </c>
      <c r="G353" s="4">
        <v>7</v>
      </c>
      <c r="H353" s="4">
        <v>2019</v>
      </c>
      <c r="I353" s="2" t="s">
        <v>79</v>
      </c>
      <c r="J353" s="3" t="s">
        <v>26</v>
      </c>
      <c r="K353" s="6">
        <v>21</v>
      </c>
      <c r="L353" s="6">
        <v>81</v>
      </c>
      <c r="M353" s="6">
        <v>2</v>
      </c>
      <c r="O353" s="1">
        <f>(K353/(K353+ L353 +M353))</f>
        <v>0.20192307692307693</v>
      </c>
      <c r="P353" s="1">
        <f>(L353/(K353+ L353 +M353))</f>
        <v>0.77884615384615385</v>
      </c>
      <c r="Q353" s="1">
        <f>(M353/(K353+ L353 +M353))</f>
        <v>1.9230769230769232E-2</v>
      </c>
    </row>
    <row r="354" spans="1:17" ht="16" x14ac:dyDescent="0.2">
      <c r="A354" s="4">
        <v>89954</v>
      </c>
      <c r="B354" s="2" t="s">
        <v>78</v>
      </c>
      <c r="C354" s="2" t="s">
        <v>65</v>
      </c>
      <c r="D354" s="2" t="s">
        <v>77</v>
      </c>
      <c r="E354" s="2" t="s">
        <v>76</v>
      </c>
      <c r="F354" s="4">
        <v>13</v>
      </c>
      <c r="G354" s="4">
        <v>7</v>
      </c>
      <c r="H354" s="4">
        <v>1989</v>
      </c>
      <c r="I354" s="2" t="s">
        <v>75</v>
      </c>
      <c r="J354" s="3" t="s">
        <v>26</v>
      </c>
      <c r="K354" s="2">
        <v>0</v>
      </c>
      <c r="L354" s="2">
        <v>1</v>
      </c>
      <c r="M354" s="2">
        <v>16</v>
      </c>
      <c r="N354" s="2"/>
      <c r="O354" s="1">
        <f>(K354/(K354+ L354 +M354))</f>
        <v>0</v>
      </c>
      <c r="P354" s="1">
        <f>(L354/(K354+ L354 +M354))</f>
        <v>5.8823529411764705E-2</v>
      </c>
      <c r="Q354" s="1">
        <f>(M354/(K354+ L354 +M354))</f>
        <v>0.94117647058823528</v>
      </c>
    </row>
    <row r="355" spans="1:17" ht="16" x14ac:dyDescent="0.2">
      <c r="A355" s="4">
        <v>137468</v>
      </c>
      <c r="B355" s="2" t="s">
        <v>74</v>
      </c>
      <c r="C355" s="2" t="s">
        <v>65</v>
      </c>
      <c r="D355" s="2" t="s">
        <v>73</v>
      </c>
      <c r="E355" s="2" t="s">
        <v>72</v>
      </c>
      <c r="F355" s="4">
        <v>4</v>
      </c>
      <c r="G355" s="4">
        <v>8</v>
      </c>
      <c r="H355" s="4">
        <v>1997</v>
      </c>
      <c r="I355" s="2" t="s">
        <v>71</v>
      </c>
      <c r="J355" s="3" t="s">
        <v>26</v>
      </c>
      <c r="K355" s="2">
        <v>0</v>
      </c>
      <c r="L355" s="2">
        <v>0</v>
      </c>
      <c r="M355" s="2">
        <v>3</v>
      </c>
      <c r="N355" s="2"/>
      <c r="O355" s="1">
        <f>(K355/(K355+ L355 +M355))</f>
        <v>0</v>
      </c>
      <c r="P355" s="1">
        <f>(L355/(K355+ L355 +M355))</f>
        <v>0</v>
      </c>
      <c r="Q355" s="1">
        <f>(M355/(K355+ L355 +M355))</f>
        <v>1</v>
      </c>
    </row>
    <row r="356" spans="1:17" ht="16" x14ac:dyDescent="0.2">
      <c r="A356" s="4">
        <v>177676</v>
      </c>
      <c r="B356" s="2" t="s">
        <v>70</v>
      </c>
      <c r="C356" s="2" t="s">
        <v>65</v>
      </c>
      <c r="D356" s="2" t="s">
        <v>69</v>
      </c>
      <c r="E356" s="2" t="s">
        <v>68</v>
      </c>
      <c r="F356" s="4">
        <v>15</v>
      </c>
      <c r="G356" s="4">
        <v>8</v>
      </c>
      <c r="H356" s="4">
        <v>2013</v>
      </c>
      <c r="I356" s="2" t="s">
        <v>67</v>
      </c>
      <c r="J356" s="3" t="s">
        <v>26</v>
      </c>
      <c r="K356" s="2">
        <v>0</v>
      </c>
      <c r="L356" s="2">
        <v>0</v>
      </c>
      <c r="M356" s="2">
        <v>0</v>
      </c>
      <c r="N356" s="2"/>
      <c r="O356" s="1" t="e">
        <f>(K356/(K356+ L356 +M356))</f>
        <v>#DIV/0!</v>
      </c>
      <c r="P356" s="1" t="e">
        <f>(L356/(K356+ L356 +M356))</f>
        <v>#DIV/0!</v>
      </c>
      <c r="Q356" s="1" t="e">
        <f>(M356/(K356+ L356 +M356))</f>
        <v>#DIV/0!</v>
      </c>
    </row>
    <row r="357" spans="1:17" ht="16" x14ac:dyDescent="0.2">
      <c r="A357" s="4">
        <v>74187</v>
      </c>
      <c r="B357" s="2" t="s">
        <v>66</v>
      </c>
      <c r="C357" s="2" t="s">
        <v>65</v>
      </c>
      <c r="D357" s="2" t="s">
        <v>64</v>
      </c>
      <c r="E357" s="2" t="s">
        <v>63</v>
      </c>
      <c r="F357" s="4">
        <v>8</v>
      </c>
      <c r="G357" s="4">
        <v>7</v>
      </c>
      <c r="H357" s="4">
        <v>1987</v>
      </c>
      <c r="I357" s="2" t="s">
        <v>62</v>
      </c>
      <c r="J357" s="3" t="s">
        <v>26</v>
      </c>
      <c r="K357" s="2">
        <v>0</v>
      </c>
      <c r="L357" s="2">
        <v>0</v>
      </c>
      <c r="M357" s="2">
        <v>24</v>
      </c>
      <c r="N357" s="2"/>
      <c r="O357" s="1">
        <f>(K357/(K357+ L357 +M357))</f>
        <v>0</v>
      </c>
      <c r="P357" s="1">
        <f>(L357/(K357+ L357 +M357))</f>
        <v>0</v>
      </c>
      <c r="Q357" s="1">
        <f>(M357/(K357+ L357 +M357))</f>
        <v>1</v>
      </c>
    </row>
    <row r="358" spans="1:17" ht="16" x14ac:dyDescent="0.2">
      <c r="A358" s="4">
        <v>112872</v>
      </c>
      <c r="B358" s="2" t="s">
        <v>61</v>
      </c>
      <c r="C358" s="2" t="s">
        <v>60</v>
      </c>
      <c r="D358" s="2" t="s">
        <v>59</v>
      </c>
      <c r="E358" s="2" t="s">
        <v>58</v>
      </c>
      <c r="F358" s="4">
        <v>22</v>
      </c>
      <c r="G358" s="4">
        <v>6</v>
      </c>
      <c r="H358" s="4">
        <v>1993</v>
      </c>
      <c r="I358" s="2" t="s">
        <v>57</v>
      </c>
      <c r="J358" s="3" t="s">
        <v>26</v>
      </c>
      <c r="K358" s="6">
        <v>1</v>
      </c>
      <c r="L358" s="6">
        <v>47</v>
      </c>
      <c r="M358" s="6">
        <v>68</v>
      </c>
      <c r="O358" s="1">
        <f>(K358/(K358+ L358 +M358))</f>
        <v>8.6206896551724137E-3</v>
      </c>
      <c r="P358" s="1">
        <f>(L358/(K358+ L358 +M358))</f>
        <v>0.40517241379310343</v>
      </c>
      <c r="Q358" s="1">
        <f>(M358/(K358+ L358 +M358))</f>
        <v>0.58620689655172409</v>
      </c>
    </row>
    <row r="359" spans="1:17" ht="16" x14ac:dyDescent="0.2">
      <c r="A359" s="4">
        <v>190040</v>
      </c>
      <c r="B359" s="2" t="s">
        <v>56</v>
      </c>
      <c r="C359" s="2" t="s">
        <v>15</v>
      </c>
      <c r="D359" s="2" t="s">
        <v>8</v>
      </c>
      <c r="E359" s="2" t="s">
        <v>55</v>
      </c>
      <c r="F359" s="4">
        <v>30</v>
      </c>
      <c r="G359" s="4">
        <v>9</v>
      </c>
      <c r="H359" s="4">
        <v>2020</v>
      </c>
      <c r="I359" s="2" t="s">
        <v>54</v>
      </c>
      <c r="J359" s="3" t="s">
        <v>26</v>
      </c>
      <c r="K359" s="6">
        <v>0</v>
      </c>
      <c r="L359" s="6">
        <v>0</v>
      </c>
      <c r="M359" s="6">
        <v>0</v>
      </c>
      <c r="O359" s="1" t="e">
        <f>(K359/(K359+ L359 +M359))</f>
        <v>#DIV/0!</v>
      </c>
      <c r="P359" s="1" t="e">
        <f>(L359/(K359+ L359 +M359))</f>
        <v>#DIV/0!</v>
      </c>
      <c r="Q359" s="1" t="e">
        <f>(M359/(K359+ L359 +M359))</f>
        <v>#DIV/0!</v>
      </c>
    </row>
    <row r="360" spans="1:17" ht="16" x14ac:dyDescent="0.2">
      <c r="A360" s="4">
        <v>190042</v>
      </c>
      <c r="B360" s="2" t="s">
        <v>53</v>
      </c>
      <c r="C360" s="2" t="s">
        <v>52</v>
      </c>
      <c r="D360" s="2" t="s">
        <v>8</v>
      </c>
      <c r="E360" s="2" t="s">
        <v>51</v>
      </c>
      <c r="F360" s="4">
        <v>30</v>
      </c>
      <c r="G360" s="4">
        <v>9</v>
      </c>
      <c r="H360" s="4">
        <v>2020</v>
      </c>
      <c r="I360" s="2" t="s">
        <v>50</v>
      </c>
      <c r="J360" s="3" t="s">
        <v>26</v>
      </c>
      <c r="K360" s="6">
        <v>0</v>
      </c>
      <c r="L360" s="6">
        <v>0</v>
      </c>
      <c r="M360" s="6">
        <v>0</v>
      </c>
      <c r="O360" s="1" t="e">
        <f>(K360/(K360+ L360 +M360))</f>
        <v>#DIV/0!</v>
      </c>
      <c r="P360" s="1" t="e">
        <f>(L360/(K360+ L360 +M360))</f>
        <v>#DIV/0!</v>
      </c>
      <c r="Q360" s="1" t="e">
        <f>(M360/(K360+ L360 +M360))</f>
        <v>#DIV/0!</v>
      </c>
    </row>
    <row r="361" spans="1:17" ht="16" x14ac:dyDescent="0.2">
      <c r="A361" s="4">
        <v>189742</v>
      </c>
      <c r="B361" s="2" t="s">
        <v>49</v>
      </c>
      <c r="C361" s="2" t="s">
        <v>48</v>
      </c>
      <c r="D361" s="2" t="s">
        <v>8</v>
      </c>
      <c r="E361" s="2" t="s">
        <v>47</v>
      </c>
      <c r="F361" s="4">
        <v>26</v>
      </c>
      <c r="G361" s="4">
        <v>8</v>
      </c>
      <c r="H361" s="4">
        <v>2020</v>
      </c>
      <c r="I361" s="2" t="s">
        <v>46</v>
      </c>
      <c r="J361" s="3" t="s">
        <v>26</v>
      </c>
      <c r="K361" s="6">
        <v>0</v>
      </c>
      <c r="L361" s="6">
        <v>0</v>
      </c>
      <c r="M361" s="6">
        <v>0</v>
      </c>
      <c r="O361" s="1" t="e">
        <f>(K361/(K361+ L361 +M361))</f>
        <v>#DIV/0!</v>
      </c>
      <c r="P361" s="1" t="e">
        <f>(L361/(K361+ L361 +M361))</f>
        <v>#DIV/0!</v>
      </c>
      <c r="Q361" s="1" t="e">
        <f>(M361/(K361+ L361 +M361))</f>
        <v>#DIV/0!</v>
      </c>
    </row>
    <row r="362" spans="1:17" ht="16" x14ac:dyDescent="0.2">
      <c r="A362" s="2">
        <v>195738</v>
      </c>
      <c r="B362" s="2"/>
      <c r="C362" s="2" t="s">
        <v>12</v>
      </c>
      <c r="D362" s="2" t="s">
        <v>3</v>
      </c>
      <c r="E362" s="2" t="s">
        <v>45</v>
      </c>
      <c r="F362" s="4">
        <v>23</v>
      </c>
      <c r="G362" s="4">
        <v>10</v>
      </c>
      <c r="H362" s="4">
        <v>2025</v>
      </c>
      <c r="I362" s="2" t="s">
        <v>44</v>
      </c>
      <c r="J362" s="3" t="s">
        <v>26</v>
      </c>
      <c r="K362" s="6">
        <v>0</v>
      </c>
      <c r="L362" s="6">
        <v>0</v>
      </c>
      <c r="M362" s="6">
        <v>0</v>
      </c>
      <c r="O362" s="1" t="e">
        <f>(K362/(K362+ L362 +M362))</f>
        <v>#DIV/0!</v>
      </c>
      <c r="P362" s="1" t="e">
        <f>(L362/(K362+ L362 +M362))</f>
        <v>#DIV/0!</v>
      </c>
      <c r="Q362" s="1" t="e">
        <f>(M362/(K362+ L362 +M362))</f>
        <v>#DIV/0!</v>
      </c>
    </row>
    <row r="363" spans="1:17" ht="16" x14ac:dyDescent="0.2">
      <c r="A363" s="2">
        <v>195720</v>
      </c>
      <c r="B363" s="2"/>
      <c r="C363" s="2" t="s">
        <v>43</v>
      </c>
      <c r="D363" s="2" t="s">
        <v>3</v>
      </c>
      <c r="E363" s="2" t="s">
        <v>42</v>
      </c>
      <c r="F363" s="4">
        <v>23</v>
      </c>
      <c r="G363" s="4">
        <v>10</v>
      </c>
      <c r="H363" s="4">
        <v>2025</v>
      </c>
      <c r="I363" s="2" t="s">
        <v>41</v>
      </c>
      <c r="J363" s="3" t="s">
        <v>26</v>
      </c>
      <c r="K363" s="6">
        <v>0</v>
      </c>
      <c r="L363" s="6">
        <v>0</v>
      </c>
      <c r="M363" s="6">
        <v>4</v>
      </c>
      <c r="O363" s="1">
        <f>(K363/(K363+ L363 +M363))</f>
        <v>0</v>
      </c>
      <c r="P363" s="1">
        <f>(L363/(K363+ L363 +M363))</f>
        <v>0</v>
      </c>
      <c r="Q363" s="1">
        <f>(M363/(K363+ L363 +M363))</f>
        <v>1</v>
      </c>
    </row>
    <row r="364" spans="1:17" ht="16" x14ac:dyDescent="0.2">
      <c r="A364" s="2">
        <v>195743</v>
      </c>
      <c r="B364" s="2"/>
      <c r="C364" s="2" t="s">
        <v>9</v>
      </c>
      <c r="D364" s="2" t="s">
        <v>3</v>
      </c>
      <c r="E364" s="2" t="s">
        <v>40</v>
      </c>
      <c r="F364" s="4">
        <v>23</v>
      </c>
      <c r="G364" s="4">
        <v>10</v>
      </c>
      <c r="H364" s="4">
        <v>2025</v>
      </c>
      <c r="I364" s="2" t="s">
        <v>6</v>
      </c>
      <c r="J364" s="3" t="s">
        <v>26</v>
      </c>
      <c r="K364" s="6">
        <v>0</v>
      </c>
      <c r="L364" s="6">
        <v>0</v>
      </c>
      <c r="M364" s="6">
        <v>3</v>
      </c>
      <c r="O364" s="1">
        <f>(K364/(K364+ L364 +M364))</f>
        <v>0</v>
      </c>
      <c r="P364" s="1">
        <f>(L364/(K364+ L364 +M364))</f>
        <v>0</v>
      </c>
      <c r="Q364" s="1">
        <f>(M364/(K364+ L364 +M364))</f>
        <v>1</v>
      </c>
    </row>
    <row r="365" spans="1:17" ht="16" x14ac:dyDescent="0.2">
      <c r="A365" s="2">
        <v>196263</v>
      </c>
      <c r="B365" s="2"/>
      <c r="C365" s="2" t="s">
        <v>39</v>
      </c>
      <c r="D365" s="2" t="s">
        <v>38</v>
      </c>
      <c r="E365" s="2" t="s">
        <v>37</v>
      </c>
      <c r="F365" s="4">
        <v>5</v>
      </c>
      <c r="G365" s="4">
        <v>6</v>
      </c>
      <c r="H365" s="4">
        <v>2019</v>
      </c>
      <c r="I365" s="2" t="s">
        <v>36</v>
      </c>
      <c r="J365" s="3" t="s">
        <v>26</v>
      </c>
      <c r="K365" s="6">
        <v>0</v>
      </c>
      <c r="L365" s="6">
        <v>0</v>
      </c>
      <c r="M365" s="6">
        <v>0</v>
      </c>
      <c r="O365" s="1" t="e">
        <f>(K365/(K365+ L365 +M365))</f>
        <v>#DIV/0!</v>
      </c>
      <c r="P365" s="1" t="e">
        <f>(L365/(K365+ L365 +M365))</f>
        <v>#DIV/0!</v>
      </c>
      <c r="Q365" s="1" t="e">
        <f>(M365/(K365+ L365 +M365))</f>
        <v>#DIV/0!</v>
      </c>
    </row>
    <row r="366" spans="1:17" ht="16" x14ac:dyDescent="0.2">
      <c r="A366" s="4">
        <v>177464</v>
      </c>
      <c r="B366" s="2" t="s">
        <v>35</v>
      </c>
      <c r="C366" s="2" t="s">
        <v>34</v>
      </c>
      <c r="D366" s="2" t="s">
        <v>23</v>
      </c>
      <c r="E366" s="2" t="s">
        <v>33</v>
      </c>
      <c r="F366" s="4">
        <v>16</v>
      </c>
      <c r="G366" s="4">
        <v>7</v>
      </c>
      <c r="H366" s="4">
        <v>2013</v>
      </c>
      <c r="I366" s="2" t="s">
        <v>32</v>
      </c>
      <c r="J366" s="3" t="s">
        <v>26</v>
      </c>
      <c r="K366" s="2">
        <v>0</v>
      </c>
      <c r="L366" s="2">
        <v>0</v>
      </c>
      <c r="M366" s="2">
        <v>9</v>
      </c>
      <c r="N366" s="2"/>
      <c r="O366" s="1">
        <f>(K366/(K366+ L366 +M366))</f>
        <v>0</v>
      </c>
      <c r="P366" s="1">
        <f>(L366/(K366+ L366 +M366))</f>
        <v>0</v>
      </c>
      <c r="Q366" s="1">
        <f>(M366/(K366+ L366 +M366))</f>
        <v>1</v>
      </c>
    </row>
    <row r="367" spans="1:17" ht="16" x14ac:dyDescent="0.2">
      <c r="A367" s="4">
        <v>194766</v>
      </c>
      <c r="B367" s="2" t="s">
        <v>31</v>
      </c>
      <c r="C367" s="2" t="s">
        <v>30</v>
      </c>
      <c r="D367" s="2" t="s">
        <v>29</v>
      </c>
      <c r="E367" s="2" t="s">
        <v>28</v>
      </c>
      <c r="F367" s="4">
        <v>19</v>
      </c>
      <c r="G367" s="4">
        <v>6</v>
      </c>
      <c r="H367" s="4">
        <v>2025</v>
      </c>
      <c r="I367" s="2" t="s">
        <v>27</v>
      </c>
      <c r="J367" s="3" t="s">
        <v>26</v>
      </c>
      <c r="K367" s="4">
        <v>51</v>
      </c>
      <c r="L367" s="4">
        <v>54</v>
      </c>
      <c r="M367" s="4">
        <v>0</v>
      </c>
      <c r="O367" s="1">
        <f>(K367/(K367+ L367 +M367))</f>
        <v>0.48571428571428571</v>
      </c>
      <c r="P367" s="1">
        <f>(L367/(K367+ L367 +M367))</f>
        <v>0.51428571428571423</v>
      </c>
      <c r="Q367" s="1">
        <f>(M367/(K367+ L367 +M367))</f>
        <v>0</v>
      </c>
    </row>
    <row r="368" spans="1:17" ht="17.25" customHeight="1" x14ac:dyDescent="0.2">
      <c r="A368" s="4">
        <v>195010</v>
      </c>
      <c r="B368" s="2" t="s">
        <v>25</v>
      </c>
      <c r="C368" s="5" t="s">
        <v>24</v>
      </c>
      <c r="D368" s="2" t="s">
        <v>23</v>
      </c>
      <c r="E368" s="2" t="s">
        <v>22</v>
      </c>
      <c r="F368" s="4">
        <v>26</v>
      </c>
      <c r="G368" s="4">
        <v>6</v>
      </c>
      <c r="H368" s="4">
        <v>2025</v>
      </c>
      <c r="I368" s="2" t="s">
        <v>21</v>
      </c>
      <c r="J368" s="3" t="s">
        <v>0</v>
      </c>
      <c r="K368" s="2"/>
      <c r="L368" s="2"/>
      <c r="M368" s="2"/>
      <c r="N368" s="2"/>
      <c r="O368" s="1" t="e">
        <f>(K368/(K368+ L368 +M368))</f>
        <v>#DIV/0!</v>
      </c>
      <c r="P368" s="1" t="e">
        <f>(L368/(K368+ L368 +M368))</f>
        <v>#DIV/0!</v>
      </c>
      <c r="Q368" s="1" t="e">
        <f>(M368/(K368+ L368 +M368))</f>
        <v>#DIV/0!</v>
      </c>
    </row>
    <row r="369" spans="1:17" ht="16" x14ac:dyDescent="0.2">
      <c r="A369" s="4">
        <v>117216</v>
      </c>
      <c r="B369" s="2"/>
      <c r="C369" s="5" t="s">
        <v>20</v>
      </c>
      <c r="D369" s="2" t="s">
        <v>19</v>
      </c>
      <c r="E369" s="2" t="s">
        <v>18</v>
      </c>
      <c r="F369" s="4">
        <v>1</v>
      </c>
      <c r="G369" s="4">
        <v>9</v>
      </c>
      <c r="H369" s="4">
        <v>1993</v>
      </c>
      <c r="I369" s="2" t="s">
        <v>17</v>
      </c>
      <c r="J369" s="3" t="s">
        <v>0</v>
      </c>
      <c r="O369" s="1" t="e">
        <f>(K369/(K369+ L369 +M369))</f>
        <v>#DIV/0!</v>
      </c>
      <c r="P369" s="1" t="e">
        <f>(L369/(K369+ L369 +M369))</f>
        <v>#DIV/0!</v>
      </c>
      <c r="Q369" s="1" t="e">
        <f>(M369/(K369+ L369 +M369))</f>
        <v>#DIV/0!</v>
      </c>
    </row>
    <row r="370" spans="1:17" ht="16" x14ac:dyDescent="0.2">
      <c r="A370" s="4">
        <v>36827</v>
      </c>
      <c r="B370" s="2" t="s">
        <v>16</v>
      </c>
      <c r="C370" s="5" t="s">
        <v>15</v>
      </c>
      <c r="D370" s="2" t="s">
        <v>14</v>
      </c>
      <c r="E370" s="4">
        <v>4760</v>
      </c>
      <c r="F370" s="4">
        <v>9</v>
      </c>
      <c r="G370" s="4">
        <v>7</v>
      </c>
      <c r="H370" s="4">
        <v>1979</v>
      </c>
      <c r="I370" s="2" t="s">
        <v>13</v>
      </c>
      <c r="J370" s="3" t="s">
        <v>0</v>
      </c>
      <c r="O370" s="1" t="e">
        <f>(K370/(K370+ L370 +M370))</f>
        <v>#DIV/0!</v>
      </c>
      <c r="P370" s="1" t="e">
        <f>(L370/(K370+ L370 +M370))</f>
        <v>#DIV/0!</v>
      </c>
      <c r="Q370" s="1" t="e">
        <f>(M370/(K370+ L370 +M370))</f>
        <v>#DIV/0!</v>
      </c>
    </row>
    <row r="371" spans="1:17" ht="16" x14ac:dyDescent="0.2">
      <c r="A371" s="2"/>
      <c r="B371" s="2"/>
      <c r="C371" s="5" t="s">
        <v>12</v>
      </c>
      <c r="D371" s="2" t="s">
        <v>8</v>
      </c>
      <c r="E371" s="2" t="s">
        <v>11</v>
      </c>
      <c r="F371" s="4">
        <v>6</v>
      </c>
      <c r="G371" s="4">
        <v>11</v>
      </c>
      <c r="H371" s="4">
        <v>2019</v>
      </c>
      <c r="I371" s="2" t="s">
        <v>10</v>
      </c>
      <c r="J371" s="3" t="s">
        <v>0</v>
      </c>
      <c r="O371" s="1" t="e">
        <f>(K371/(K371+ L371 +M371))</f>
        <v>#DIV/0!</v>
      </c>
      <c r="P371" s="1" t="e">
        <f>(L371/(K371+ L371 +M371))</f>
        <v>#DIV/0!</v>
      </c>
      <c r="Q371" s="1" t="e">
        <f>(M371/(K371+ L371 +M371))</f>
        <v>#DIV/0!</v>
      </c>
    </row>
    <row r="372" spans="1:17" ht="16" x14ac:dyDescent="0.2">
      <c r="A372" s="2"/>
      <c r="B372" s="2"/>
      <c r="C372" s="5" t="s">
        <v>9</v>
      </c>
      <c r="D372" s="2" t="s">
        <v>8</v>
      </c>
      <c r="E372" s="2" t="s">
        <v>7</v>
      </c>
      <c r="F372" s="4">
        <v>28</v>
      </c>
      <c r="G372" s="4">
        <v>9</v>
      </c>
      <c r="H372" s="4">
        <v>2020</v>
      </c>
      <c r="I372" s="2" t="s">
        <v>6</v>
      </c>
      <c r="J372" s="3" t="s">
        <v>0</v>
      </c>
      <c r="O372" s="1" t="e">
        <f>(K372/(K372+ L372 +M372))</f>
        <v>#DIV/0!</v>
      </c>
      <c r="P372" s="1" t="e">
        <f>(L372/(K372+ L372 +M372))</f>
        <v>#DIV/0!</v>
      </c>
      <c r="Q372" s="1" t="e">
        <f>(M372/(K372+ L372 +M372))</f>
        <v>#DIV/0!</v>
      </c>
    </row>
    <row r="373" spans="1:17" ht="16" x14ac:dyDescent="0.2">
      <c r="A373" s="4">
        <v>194999</v>
      </c>
      <c r="B373" s="2" t="s">
        <v>5</v>
      </c>
      <c r="C373" s="5" t="s">
        <v>4</v>
      </c>
      <c r="D373" s="2" t="s">
        <v>3</v>
      </c>
      <c r="E373" s="2" t="s">
        <v>2</v>
      </c>
      <c r="F373" s="4">
        <v>3</v>
      </c>
      <c r="G373" s="4">
        <v>7</v>
      </c>
      <c r="H373" s="4">
        <v>2025</v>
      </c>
      <c r="I373" s="2" t="s">
        <v>1</v>
      </c>
      <c r="J373" s="3" t="s">
        <v>0</v>
      </c>
      <c r="O373" s="1" t="e">
        <f>(K373/(K373+ L373 +M373))</f>
        <v>#DIV/0!</v>
      </c>
      <c r="P373" s="1" t="e">
        <f>(L373/(K373+ L373 +M373))</f>
        <v>#DIV/0!</v>
      </c>
      <c r="Q373" s="1" t="e">
        <f>(M373/(K373+ L373 +M373))</f>
        <v>#DIV/0!</v>
      </c>
    </row>
    <row r="374" spans="1:17" ht="14" x14ac:dyDescent="0.2">
      <c r="J374" s="2"/>
      <c r="O374" s="1"/>
      <c r="P374" s="1"/>
      <c r="Q374" s="1"/>
    </row>
    <row r="375" spans="1:17" ht="14" x14ac:dyDescent="0.2">
      <c r="J375" s="2"/>
      <c r="O375" s="1"/>
      <c r="P375" s="1"/>
      <c r="Q375" s="1"/>
    </row>
    <row r="376" spans="1:17" ht="14" x14ac:dyDescent="0.2">
      <c r="J376" s="2"/>
      <c r="O376" s="1"/>
      <c r="P376" s="1"/>
      <c r="Q376" s="1"/>
    </row>
    <row r="377" spans="1:17" ht="14" x14ac:dyDescent="0.2">
      <c r="J377" s="2"/>
      <c r="O377" s="1"/>
      <c r="P377" s="1"/>
      <c r="Q377" s="1"/>
    </row>
    <row r="378" spans="1:17" ht="14" x14ac:dyDescent="0.2">
      <c r="J378" s="2"/>
      <c r="O378" s="1"/>
      <c r="P378" s="1"/>
      <c r="Q378" s="1"/>
    </row>
    <row r="379" spans="1:17" ht="14" x14ac:dyDescent="0.2">
      <c r="J379" s="2"/>
      <c r="O379" s="1"/>
      <c r="P379" s="1"/>
      <c r="Q379" s="1"/>
    </row>
    <row r="380" spans="1:17" ht="14" x14ac:dyDescent="0.2">
      <c r="J380" s="2"/>
      <c r="O380" s="1"/>
      <c r="P380" s="1"/>
      <c r="Q380" s="1"/>
    </row>
    <row r="381" spans="1:17" ht="14" x14ac:dyDescent="0.2">
      <c r="J381" s="2"/>
      <c r="O381" s="1"/>
      <c r="P381" s="1"/>
      <c r="Q381" s="1"/>
    </row>
    <row r="382" spans="1:17" ht="14" x14ac:dyDescent="0.2">
      <c r="J382" s="2"/>
      <c r="O382" s="1"/>
      <c r="P382" s="1"/>
      <c r="Q382" s="1"/>
    </row>
    <row r="383" spans="1:17" ht="14" x14ac:dyDescent="0.2">
      <c r="J383" s="2"/>
      <c r="O383" s="1"/>
      <c r="P383" s="1"/>
      <c r="Q383" s="1"/>
    </row>
    <row r="384" spans="1:17" ht="14" x14ac:dyDescent="0.2">
      <c r="J384" s="2"/>
      <c r="O384" s="1"/>
      <c r="P384" s="1"/>
      <c r="Q384" s="1"/>
    </row>
    <row r="385" spans="10:17" ht="14" x14ac:dyDescent="0.2">
      <c r="J385" s="2"/>
      <c r="O385" s="1"/>
      <c r="P385" s="1"/>
      <c r="Q385" s="1"/>
    </row>
    <row r="386" spans="10:17" ht="14" x14ac:dyDescent="0.2">
      <c r="J386" s="2"/>
      <c r="O386" s="1"/>
      <c r="P386" s="1"/>
      <c r="Q386" s="1"/>
    </row>
    <row r="387" spans="10:17" ht="14" x14ac:dyDescent="0.2">
      <c r="J387" s="2"/>
      <c r="O387" s="1"/>
      <c r="P387" s="1"/>
      <c r="Q387" s="1"/>
    </row>
    <row r="388" spans="10:17" ht="14" x14ac:dyDescent="0.2">
      <c r="J388" s="2"/>
      <c r="O388" s="1"/>
      <c r="P388" s="1"/>
      <c r="Q388" s="1"/>
    </row>
    <row r="389" spans="10:17" ht="14" x14ac:dyDescent="0.2">
      <c r="J389" s="2"/>
      <c r="O389" s="1"/>
      <c r="P389" s="1"/>
      <c r="Q389" s="1"/>
    </row>
    <row r="390" spans="10:17" ht="14" x14ac:dyDescent="0.2">
      <c r="J390" s="2"/>
      <c r="O390" s="1"/>
      <c r="P390" s="1"/>
      <c r="Q390" s="1"/>
    </row>
    <row r="391" spans="10:17" ht="14" x14ac:dyDescent="0.2">
      <c r="J391" s="2"/>
      <c r="O391" s="1"/>
      <c r="P391" s="1"/>
      <c r="Q391" s="1"/>
    </row>
    <row r="392" spans="10:17" ht="14" x14ac:dyDescent="0.2">
      <c r="J392" s="2"/>
      <c r="O392" s="1"/>
      <c r="P392" s="1"/>
      <c r="Q392" s="1"/>
    </row>
    <row r="393" spans="10:17" ht="14" x14ac:dyDescent="0.2">
      <c r="J393" s="2"/>
      <c r="O393" s="1"/>
      <c r="P393" s="1"/>
      <c r="Q393" s="1"/>
    </row>
    <row r="394" spans="10:17" ht="14" x14ac:dyDescent="0.2">
      <c r="J394" s="2"/>
      <c r="O394" s="1"/>
      <c r="P394" s="1"/>
      <c r="Q394" s="1"/>
    </row>
    <row r="395" spans="10:17" ht="14" x14ac:dyDescent="0.2">
      <c r="J395" s="2"/>
      <c r="O395" s="1"/>
      <c r="P395" s="1"/>
      <c r="Q395" s="1"/>
    </row>
    <row r="396" spans="10:17" ht="14" x14ac:dyDescent="0.2">
      <c r="J396" s="2"/>
      <c r="O396" s="1"/>
      <c r="P396" s="1"/>
      <c r="Q396" s="1"/>
    </row>
    <row r="397" spans="10:17" ht="14" x14ac:dyDescent="0.2">
      <c r="J397" s="2"/>
      <c r="O397" s="1"/>
      <c r="P397" s="1"/>
      <c r="Q397" s="1"/>
    </row>
    <row r="398" spans="10:17" ht="14" x14ac:dyDescent="0.2">
      <c r="J398" s="2"/>
      <c r="O398" s="1"/>
      <c r="P398" s="1"/>
      <c r="Q398" s="1"/>
    </row>
    <row r="399" spans="10:17" ht="14" x14ac:dyDescent="0.2">
      <c r="J399" s="2"/>
      <c r="O399" s="1"/>
      <c r="P399" s="1"/>
      <c r="Q399" s="1"/>
    </row>
    <row r="400" spans="10:17" ht="14" x14ac:dyDescent="0.2">
      <c r="J400" s="2"/>
      <c r="O400" s="1"/>
      <c r="P400" s="1"/>
      <c r="Q400" s="1"/>
    </row>
    <row r="401" spans="10:17" ht="14" x14ac:dyDescent="0.2">
      <c r="J401" s="2"/>
      <c r="O401" s="1"/>
      <c r="P401" s="1"/>
      <c r="Q401" s="1"/>
    </row>
    <row r="402" spans="10:17" ht="14" x14ac:dyDescent="0.2">
      <c r="J402" s="2"/>
      <c r="O402" s="1"/>
      <c r="P402" s="1"/>
      <c r="Q402" s="1"/>
    </row>
    <row r="403" spans="10:17" ht="14" x14ac:dyDescent="0.2">
      <c r="J403" s="2"/>
      <c r="O403" s="1"/>
      <c r="P403" s="1"/>
      <c r="Q403" s="1"/>
    </row>
    <row r="404" spans="10:17" ht="14" x14ac:dyDescent="0.2">
      <c r="J404" s="2"/>
      <c r="O404" s="1"/>
      <c r="P404" s="1"/>
      <c r="Q404" s="1"/>
    </row>
    <row r="405" spans="10:17" ht="14" x14ac:dyDescent="0.2">
      <c r="J405" s="2"/>
      <c r="O405" s="1"/>
      <c r="P405" s="1"/>
      <c r="Q405" s="1"/>
    </row>
    <row r="406" spans="10:17" ht="14" x14ac:dyDescent="0.2">
      <c r="J406" s="2"/>
      <c r="O406" s="1"/>
      <c r="P406" s="1"/>
      <c r="Q406" s="1"/>
    </row>
    <row r="407" spans="10:17" ht="14" x14ac:dyDescent="0.2">
      <c r="J407" s="2"/>
      <c r="O407" s="1"/>
      <c r="P407" s="1"/>
      <c r="Q407" s="1"/>
    </row>
    <row r="408" spans="10:17" ht="14" x14ac:dyDescent="0.2">
      <c r="J408" s="2"/>
      <c r="O408" s="1"/>
      <c r="P408" s="1"/>
      <c r="Q408" s="1"/>
    </row>
    <row r="409" spans="10:17" ht="14" x14ac:dyDescent="0.2">
      <c r="J409" s="2"/>
      <c r="O409" s="1"/>
      <c r="P409" s="1"/>
      <c r="Q409" s="1"/>
    </row>
    <row r="410" spans="10:17" ht="14" x14ac:dyDescent="0.2">
      <c r="J410" s="2"/>
      <c r="O410" s="1"/>
      <c r="P410" s="1"/>
      <c r="Q410" s="1"/>
    </row>
    <row r="411" spans="10:17" ht="14" x14ac:dyDescent="0.2">
      <c r="J411" s="2"/>
      <c r="O411" s="1"/>
      <c r="P411" s="1"/>
      <c r="Q411" s="1"/>
    </row>
    <row r="412" spans="10:17" ht="14" x14ac:dyDescent="0.2">
      <c r="J412" s="2"/>
      <c r="O412" s="1"/>
      <c r="P412" s="1"/>
      <c r="Q412" s="1"/>
    </row>
    <row r="413" spans="10:17" ht="14" x14ac:dyDescent="0.2">
      <c r="J413" s="2"/>
      <c r="O413" s="1"/>
      <c r="P413" s="1"/>
      <c r="Q413" s="1"/>
    </row>
    <row r="414" spans="10:17" ht="14" x14ac:dyDescent="0.2">
      <c r="J414" s="2"/>
      <c r="O414" s="1"/>
      <c r="P414" s="1"/>
      <c r="Q414" s="1"/>
    </row>
    <row r="415" spans="10:17" ht="14" x14ac:dyDescent="0.2">
      <c r="J415" s="2"/>
      <c r="O415" s="1"/>
      <c r="P415" s="1"/>
      <c r="Q415" s="1"/>
    </row>
    <row r="416" spans="10:17" ht="14" x14ac:dyDescent="0.2">
      <c r="J416" s="2"/>
      <c r="O416" s="1"/>
      <c r="P416" s="1"/>
      <c r="Q416" s="1"/>
    </row>
    <row r="417" spans="10:17" ht="14" x14ac:dyDescent="0.2">
      <c r="J417" s="2"/>
      <c r="O417" s="1"/>
      <c r="P417" s="1"/>
      <c r="Q417" s="1"/>
    </row>
    <row r="418" spans="10:17" ht="14" x14ac:dyDescent="0.2">
      <c r="J418" s="2"/>
      <c r="O418" s="1"/>
      <c r="P418" s="1"/>
      <c r="Q418" s="1"/>
    </row>
    <row r="419" spans="10:17" ht="14" x14ac:dyDescent="0.2">
      <c r="J419" s="2"/>
      <c r="O419" s="1"/>
      <c r="P419" s="1"/>
      <c r="Q419" s="1"/>
    </row>
    <row r="420" spans="10:17" ht="14" x14ac:dyDescent="0.2">
      <c r="J420" s="2"/>
      <c r="O420" s="1"/>
      <c r="P420" s="1"/>
      <c r="Q420" s="1"/>
    </row>
    <row r="421" spans="10:17" ht="14" x14ac:dyDescent="0.2">
      <c r="J421" s="2"/>
      <c r="O421" s="1"/>
      <c r="P421" s="1"/>
      <c r="Q421" s="1"/>
    </row>
    <row r="422" spans="10:17" ht="14" x14ac:dyDescent="0.2">
      <c r="J422" s="2"/>
      <c r="O422" s="1"/>
      <c r="P422" s="1"/>
      <c r="Q422" s="1"/>
    </row>
    <row r="423" spans="10:17" ht="14" x14ac:dyDescent="0.2">
      <c r="J423" s="2"/>
      <c r="O423" s="1"/>
      <c r="P423" s="1"/>
      <c r="Q423" s="1"/>
    </row>
    <row r="424" spans="10:17" ht="14" x14ac:dyDescent="0.2">
      <c r="J424" s="2"/>
      <c r="O424" s="1"/>
      <c r="P424" s="1"/>
      <c r="Q424" s="1"/>
    </row>
    <row r="425" spans="10:17" ht="14" x14ac:dyDescent="0.2">
      <c r="J425" s="2"/>
      <c r="O425" s="1"/>
      <c r="P425" s="1"/>
      <c r="Q425" s="1"/>
    </row>
    <row r="426" spans="10:17" ht="14" x14ac:dyDescent="0.2">
      <c r="J426" s="2"/>
      <c r="O426" s="1"/>
      <c r="P426" s="1"/>
      <c r="Q426" s="1"/>
    </row>
    <row r="427" spans="10:17" ht="14" x14ac:dyDescent="0.2">
      <c r="J427" s="2"/>
      <c r="O427" s="1"/>
      <c r="P427" s="1"/>
      <c r="Q427" s="1"/>
    </row>
    <row r="428" spans="10:17" ht="14" x14ac:dyDescent="0.2">
      <c r="J428" s="2"/>
      <c r="O428" s="1"/>
      <c r="P428" s="1"/>
      <c r="Q428" s="1"/>
    </row>
    <row r="429" spans="10:17" ht="14" x14ac:dyDescent="0.2">
      <c r="J429" s="2"/>
      <c r="O429" s="1"/>
      <c r="P429" s="1"/>
      <c r="Q429" s="1"/>
    </row>
    <row r="430" spans="10:17" ht="14" x14ac:dyDescent="0.2">
      <c r="J430" s="2"/>
      <c r="O430" s="1"/>
      <c r="P430" s="1"/>
      <c r="Q430" s="1"/>
    </row>
    <row r="431" spans="10:17" ht="14" x14ac:dyDescent="0.2">
      <c r="J431" s="2"/>
      <c r="O431" s="1"/>
      <c r="P431" s="1"/>
      <c r="Q431" s="1"/>
    </row>
    <row r="432" spans="10:17" ht="14" x14ac:dyDescent="0.2">
      <c r="J432" s="2"/>
      <c r="O432" s="1"/>
      <c r="P432" s="1"/>
      <c r="Q432" s="1"/>
    </row>
    <row r="433" spans="10:17" ht="14" x14ac:dyDescent="0.2">
      <c r="J433" s="2"/>
      <c r="O433" s="1"/>
      <c r="P433" s="1"/>
      <c r="Q433" s="1"/>
    </row>
    <row r="434" spans="10:17" ht="14" x14ac:dyDescent="0.2">
      <c r="J434" s="2"/>
      <c r="O434" s="1"/>
      <c r="P434" s="1"/>
      <c r="Q434" s="1"/>
    </row>
    <row r="435" spans="10:17" ht="14" x14ac:dyDescent="0.2">
      <c r="J435" s="2"/>
      <c r="O435" s="1"/>
      <c r="P435" s="1"/>
      <c r="Q435" s="1"/>
    </row>
    <row r="436" spans="10:17" ht="14" x14ac:dyDescent="0.2">
      <c r="J436" s="2"/>
      <c r="O436" s="1"/>
      <c r="P436" s="1"/>
      <c r="Q436" s="1"/>
    </row>
    <row r="437" spans="10:17" ht="14" x14ac:dyDescent="0.2">
      <c r="J437" s="2"/>
      <c r="O437" s="1"/>
      <c r="P437" s="1"/>
      <c r="Q437" s="1"/>
    </row>
    <row r="438" spans="10:17" ht="14" x14ac:dyDescent="0.2">
      <c r="J438" s="2"/>
      <c r="O438" s="1"/>
      <c r="P438" s="1"/>
      <c r="Q438" s="1"/>
    </row>
    <row r="439" spans="10:17" ht="14" x14ac:dyDescent="0.2">
      <c r="J439" s="2"/>
      <c r="O439" s="1"/>
      <c r="P439" s="1"/>
      <c r="Q439" s="1"/>
    </row>
    <row r="440" spans="10:17" ht="14" x14ac:dyDescent="0.2">
      <c r="J440" s="2"/>
      <c r="O440" s="1"/>
      <c r="P440" s="1"/>
      <c r="Q440" s="1"/>
    </row>
    <row r="441" spans="10:17" ht="14" x14ac:dyDescent="0.2">
      <c r="J441" s="2"/>
      <c r="O441" s="1"/>
      <c r="P441" s="1"/>
      <c r="Q441" s="1"/>
    </row>
    <row r="442" spans="10:17" ht="14" x14ac:dyDescent="0.2">
      <c r="J442" s="2"/>
      <c r="O442" s="1"/>
      <c r="P442" s="1"/>
      <c r="Q442" s="1"/>
    </row>
    <row r="443" spans="10:17" ht="14" x14ac:dyDescent="0.2">
      <c r="J443" s="2"/>
      <c r="O443" s="1"/>
      <c r="P443" s="1"/>
      <c r="Q443" s="1"/>
    </row>
    <row r="444" spans="10:17" ht="14" x14ac:dyDescent="0.2">
      <c r="J444" s="2"/>
      <c r="O444" s="1"/>
      <c r="P444" s="1"/>
      <c r="Q444" s="1"/>
    </row>
    <row r="445" spans="10:17" ht="14" x14ac:dyDescent="0.2">
      <c r="J445" s="2"/>
      <c r="O445" s="1"/>
      <c r="P445" s="1"/>
      <c r="Q445" s="1"/>
    </row>
    <row r="446" spans="10:17" ht="14" x14ac:dyDescent="0.2">
      <c r="J446" s="2"/>
      <c r="O446" s="1"/>
      <c r="P446" s="1"/>
      <c r="Q446" s="1"/>
    </row>
    <row r="447" spans="10:17" ht="14" x14ac:dyDescent="0.2">
      <c r="J447" s="2"/>
      <c r="O447" s="1"/>
      <c r="P447" s="1"/>
      <c r="Q447" s="1"/>
    </row>
    <row r="448" spans="10:17" ht="14" x14ac:dyDescent="0.2">
      <c r="J448" s="2"/>
      <c r="O448" s="1"/>
      <c r="P448" s="1"/>
      <c r="Q448" s="1"/>
    </row>
    <row r="449" spans="10:17" ht="14" x14ac:dyDescent="0.2">
      <c r="J449" s="2"/>
      <c r="O449" s="1"/>
      <c r="P449" s="1"/>
      <c r="Q449" s="1"/>
    </row>
    <row r="450" spans="10:17" ht="14" x14ac:dyDescent="0.2">
      <c r="J450" s="2"/>
      <c r="O450" s="1"/>
      <c r="P450" s="1"/>
      <c r="Q450" s="1"/>
    </row>
    <row r="451" spans="10:17" ht="14" x14ac:dyDescent="0.2">
      <c r="J451" s="2"/>
      <c r="O451" s="1"/>
      <c r="P451" s="1"/>
      <c r="Q451" s="1"/>
    </row>
    <row r="452" spans="10:17" ht="14" x14ac:dyDescent="0.2">
      <c r="J452" s="2"/>
      <c r="O452" s="1"/>
      <c r="P452" s="1"/>
      <c r="Q452" s="1"/>
    </row>
    <row r="453" spans="10:17" ht="14" x14ac:dyDescent="0.2">
      <c r="J453" s="2"/>
      <c r="O453" s="1"/>
      <c r="P453" s="1"/>
      <c r="Q453" s="1"/>
    </row>
    <row r="454" spans="10:17" ht="14" x14ac:dyDescent="0.2">
      <c r="J454" s="2"/>
      <c r="O454" s="1"/>
      <c r="P454" s="1"/>
      <c r="Q454" s="1"/>
    </row>
    <row r="455" spans="10:17" ht="14" x14ac:dyDescent="0.2">
      <c r="J455" s="2"/>
      <c r="O455" s="1"/>
      <c r="P455" s="1"/>
      <c r="Q455" s="1"/>
    </row>
    <row r="456" spans="10:17" ht="14" x14ac:dyDescent="0.2">
      <c r="J456" s="2"/>
      <c r="O456" s="1"/>
      <c r="P456" s="1"/>
      <c r="Q456" s="1"/>
    </row>
    <row r="457" spans="10:17" ht="14" x14ac:dyDescent="0.2">
      <c r="J457" s="2"/>
      <c r="O457" s="1"/>
      <c r="P457" s="1"/>
      <c r="Q457" s="1"/>
    </row>
    <row r="458" spans="10:17" ht="14" x14ac:dyDescent="0.2">
      <c r="J458" s="2"/>
      <c r="O458" s="1"/>
      <c r="P458" s="1"/>
      <c r="Q458" s="1"/>
    </row>
    <row r="459" spans="10:17" ht="14" x14ac:dyDescent="0.2">
      <c r="J459" s="2"/>
      <c r="O459" s="1"/>
      <c r="P459" s="1"/>
      <c r="Q459" s="1"/>
    </row>
    <row r="460" spans="10:17" ht="14" x14ac:dyDescent="0.2">
      <c r="J460" s="2"/>
      <c r="O460" s="1"/>
      <c r="P460" s="1"/>
      <c r="Q460" s="1"/>
    </row>
    <row r="461" spans="10:17" ht="14" x14ac:dyDescent="0.2">
      <c r="J461" s="2"/>
      <c r="O461" s="1"/>
      <c r="P461" s="1"/>
      <c r="Q461" s="1"/>
    </row>
    <row r="462" spans="10:17" ht="14" x14ac:dyDescent="0.2">
      <c r="J462" s="2"/>
      <c r="O462" s="1"/>
      <c r="P462" s="1"/>
      <c r="Q462" s="1"/>
    </row>
    <row r="463" spans="10:17" ht="14" x14ac:dyDescent="0.2">
      <c r="J463" s="2"/>
      <c r="O463" s="1"/>
      <c r="P463" s="1"/>
      <c r="Q463" s="1"/>
    </row>
    <row r="464" spans="10:17" ht="14" x14ac:dyDescent="0.2">
      <c r="J464" s="2"/>
      <c r="O464" s="1"/>
      <c r="P464" s="1"/>
      <c r="Q464" s="1"/>
    </row>
    <row r="465" spans="10:17" ht="14" x14ac:dyDescent="0.2">
      <c r="J465" s="2"/>
      <c r="O465" s="1"/>
      <c r="P465" s="1"/>
      <c r="Q465" s="1"/>
    </row>
    <row r="466" spans="10:17" ht="14" x14ac:dyDescent="0.2">
      <c r="J466" s="2"/>
      <c r="O466" s="1"/>
      <c r="P466" s="1"/>
      <c r="Q466" s="1"/>
    </row>
    <row r="467" spans="10:17" ht="14" x14ac:dyDescent="0.2">
      <c r="J467" s="2"/>
      <c r="O467" s="1"/>
      <c r="P467" s="1"/>
      <c r="Q467" s="1"/>
    </row>
    <row r="468" spans="10:17" ht="14" x14ac:dyDescent="0.2">
      <c r="J468" s="2"/>
      <c r="O468" s="1"/>
      <c r="P468" s="1"/>
      <c r="Q468" s="1"/>
    </row>
    <row r="469" spans="10:17" ht="14" x14ac:dyDescent="0.2">
      <c r="J469" s="2"/>
      <c r="O469" s="1"/>
      <c r="P469" s="1"/>
      <c r="Q469" s="1"/>
    </row>
    <row r="470" spans="10:17" ht="14" x14ac:dyDescent="0.2">
      <c r="J470" s="2"/>
      <c r="O470" s="1"/>
      <c r="P470" s="1"/>
      <c r="Q470" s="1"/>
    </row>
    <row r="471" spans="10:17" ht="14" x14ac:dyDescent="0.2">
      <c r="J471" s="2"/>
      <c r="O471" s="1"/>
      <c r="P471" s="1"/>
      <c r="Q471" s="1"/>
    </row>
    <row r="472" spans="10:17" ht="14" x14ac:dyDescent="0.2">
      <c r="J472" s="2"/>
      <c r="O472" s="1"/>
      <c r="P472" s="1"/>
      <c r="Q472" s="1"/>
    </row>
    <row r="473" spans="10:17" ht="14" x14ac:dyDescent="0.2">
      <c r="J473" s="2"/>
      <c r="O473" s="1"/>
      <c r="P473" s="1"/>
      <c r="Q473" s="1"/>
    </row>
    <row r="474" spans="10:17" ht="14" x14ac:dyDescent="0.2">
      <c r="J474" s="2"/>
      <c r="O474" s="1"/>
      <c r="P474" s="1"/>
      <c r="Q474" s="1"/>
    </row>
    <row r="475" spans="10:17" ht="14" x14ac:dyDescent="0.2">
      <c r="J475" s="2"/>
      <c r="O475" s="1"/>
      <c r="P475" s="1"/>
      <c r="Q475" s="1"/>
    </row>
    <row r="476" spans="10:17" ht="14" x14ac:dyDescent="0.2">
      <c r="J476" s="2"/>
      <c r="O476" s="1"/>
      <c r="P476" s="1"/>
      <c r="Q476" s="1"/>
    </row>
    <row r="477" spans="10:17" ht="14" x14ac:dyDescent="0.2">
      <c r="J477" s="2"/>
      <c r="O477" s="1"/>
      <c r="P477" s="1"/>
      <c r="Q477" s="1"/>
    </row>
    <row r="478" spans="10:17" ht="14" x14ac:dyDescent="0.2">
      <c r="J478" s="2"/>
      <c r="O478" s="1"/>
      <c r="P478" s="1"/>
      <c r="Q478" s="1"/>
    </row>
    <row r="479" spans="10:17" ht="14" x14ac:dyDescent="0.2">
      <c r="J479" s="2"/>
      <c r="O479" s="1"/>
      <c r="P479" s="1"/>
      <c r="Q479" s="1"/>
    </row>
    <row r="480" spans="10:17" ht="14" x14ac:dyDescent="0.2">
      <c r="J480" s="2"/>
      <c r="O480" s="1"/>
      <c r="P480" s="1"/>
      <c r="Q480" s="1"/>
    </row>
    <row r="481" spans="10:17" ht="14" x14ac:dyDescent="0.2">
      <c r="J481" s="2"/>
      <c r="O481" s="1"/>
      <c r="P481" s="1"/>
      <c r="Q481" s="1"/>
    </row>
    <row r="482" spans="10:17" ht="14" x14ac:dyDescent="0.2">
      <c r="J482" s="2"/>
      <c r="O482" s="1"/>
      <c r="P482" s="1"/>
      <c r="Q482" s="1"/>
    </row>
    <row r="483" spans="10:17" ht="14" x14ac:dyDescent="0.2">
      <c r="J483" s="2"/>
      <c r="O483" s="1"/>
      <c r="P483" s="1"/>
      <c r="Q483" s="1"/>
    </row>
    <row r="484" spans="10:17" ht="14" x14ac:dyDescent="0.2">
      <c r="J484" s="2"/>
      <c r="O484" s="1"/>
      <c r="P484" s="1"/>
      <c r="Q484" s="1"/>
    </row>
    <row r="485" spans="10:17" ht="14" x14ac:dyDescent="0.2">
      <c r="J485" s="2"/>
      <c r="O485" s="1"/>
      <c r="P485" s="1"/>
      <c r="Q485" s="1"/>
    </row>
    <row r="486" spans="10:17" ht="14" x14ac:dyDescent="0.2">
      <c r="J486" s="2"/>
      <c r="O486" s="1"/>
      <c r="P486" s="1"/>
      <c r="Q486" s="1"/>
    </row>
    <row r="487" spans="10:17" ht="14" x14ac:dyDescent="0.2">
      <c r="J487" s="2"/>
      <c r="O487" s="1"/>
      <c r="P487" s="1"/>
      <c r="Q487" s="1"/>
    </row>
    <row r="488" spans="10:17" ht="14" x14ac:dyDescent="0.2">
      <c r="J488" s="2"/>
      <c r="O488" s="1"/>
      <c r="P488" s="1"/>
      <c r="Q488" s="1"/>
    </row>
    <row r="489" spans="10:17" ht="14" x14ac:dyDescent="0.2">
      <c r="J489" s="2"/>
      <c r="O489" s="1"/>
      <c r="P489" s="1"/>
      <c r="Q489" s="1"/>
    </row>
    <row r="490" spans="10:17" ht="14" x14ac:dyDescent="0.2">
      <c r="J490" s="2"/>
      <c r="O490" s="1"/>
      <c r="P490" s="1"/>
      <c r="Q490" s="1"/>
    </row>
    <row r="491" spans="10:17" ht="14" x14ac:dyDescent="0.2">
      <c r="J491" s="2"/>
      <c r="O491" s="1"/>
      <c r="P491" s="1"/>
      <c r="Q491" s="1"/>
    </row>
    <row r="492" spans="10:17" ht="14" x14ac:dyDescent="0.2">
      <c r="J492" s="2"/>
      <c r="O492" s="1"/>
      <c r="P492" s="1"/>
      <c r="Q492" s="1"/>
    </row>
    <row r="493" spans="10:17" ht="14" x14ac:dyDescent="0.2">
      <c r="J493" s="2"/>
      <c r="O493" s="1"/>
      <c r="P493" s="1"/>
      <c r="Q493" s="1"/>
    </row>
    <row r="494" spans="10:17" ht="14" x14ac:dyDescent="0.2">
      <c r="J494" s="2"/>
      <c r="O494" s="1"/>
      <c r="P494" s="1"/>
      <c r="Q494" s="1"/>
    </row>
    <row r="495" spans="10:17" ht="14" x14ac:dyDescent="0.2">
      <c r="J495" s="2"/>
      <c r="O495" s="1"/>
      <c r="P495" s="1"/>
      <c r="Q495" s="1"/>
    </row>
    <row r="496" spans="10:17" ht="14" x14ac:dyDescent="0.2">
      <c r="J496" s="2"/>
      <c r="O496" s="1"/>
      <c r="P496" s="1"/>
      <c r="Q496" s="1"/>
    </row>
    <row r="497" spans="10:17" ht="14" x14ac:dyDescent="0.2">
      <c r="J497" s="2"/>
      <c r="O497" s="1"/>
      <c r="P497" s="1"/>
      <c r="Q497" s="1"/>
    </row>
    <row r="498" spans="10:17" ht="14" x14ac:dyDescent="0.2">
      <c r="J498" s="2"/>
      <c r="O498" s="1"/>
      <c r="P498" s="1"/>
      <c r="Q498" s="1"/>
    </row>
    <row r="499" spans="10:17" ht="14" x14ac:dyDescent="0.2">
      <c r="J499" s="2"/>
      <c r="O499" s="1"/>
      <c r="P499" s="1"/>
      <c r="Q499" s="1"/>
    </row>
    <row r="500" spans="10:17" ht="14" x14ac:dyDescent="0.2">
      <c r="J500" s="2"/>
      <c r="O500" s="1"/>
      <c r="P500" s="1"/>
      <c r="Q500" s="1"/>
    </row>
    <row r="501" spans="10:17" ht="14" x14ac:dyDescent="0.2">
      <c r="J501" s="2"/>
      <c r="O501" s="1"/>
      <c r="P501" s="1"/>
      <c r="Q501" s="1"/>
    </row>
    <row r="502" spans="10:17" ht="14" x14ac:dyDescent="0.2">
      <c r="J502" s="2"/>
      <c r="O502" s="1"/>
      <c r="P502" s="1"/>
      <c r="Q502" s="1"/>
    </row>
    <row r="503" spans="10:17" ht="14" x14ac:dyDescent="0.2">
      <c r="J503" s="2"/>
      <c r="O503" s="1"/>
      <c r="P503" s="1"/>
      <c r="Q503" s="1"/>
    </row>
    <row r="504" spans="10:17" ht="14" x14ac:dyDescent="0.2">
      <c r="J504" s="2"/>
      <c r="O504" s="1"/>
      <c r="P504" s="1"/>
      <c r="Q504" s="1"/>
    </row>
    <row r="505" spans="10:17" ht="14" x14ac:dyDescent="0.2">
      <c r="J505" s="2"/>
      <c r="O505" s="1"/>
      <c r="P505" s="1"/>
      <c r="Q505" s="1"/>
    </row>
    <row r="506" spans="10:17" ht="14" x14ac:dyDescent="0.2">
      <c r="J506" s="2"/>
      <c r="O506" s="1"/>
      <c r="P506" s="1"/>
      <c r="Q506" s="1"/>
    </row>
    <row r="507" spans="10:17" ht="14" x14ac:dyDescent="0.2">
      <c r="J507" s="2"/>
      <c r="O507" s="1"/>
      <c r="P507" s="1"/>
      <c r="Q507" s="1"/>
    </row>
    <row r="508" spans="10:17" ht="14" x14ac:dyDescent="0.2">
      <c r="J508" s="2"/>
      <c r="O508" s="1"/>
      <c r="P508" s="1"/>
      <c r="Q508" s="1"/>
    </row>
    <row r="509" spans="10:17" ht="14" x14ac:dyDescent="0.2">
      <c r="J509" s="2"/>
      <c r="O509" s="1"/>
      <c r="P509" s="1"/>
      <c r="Q509" s="1"/>
    </row>
    <row r="510" spans="10:17" ht="14" x14ac:dyDescent="0.2">
      <c r="J510" s="2"/>
      <c r="O510" s="1"/>
      <c r="P510" s="1"/>
      <c r="Q510" s="1"/>
    </row>
    <row r="511" spans="10:17" ht="14" x14ac:dyDescent="0.2">
      <c r="J511" s="2"/>
      <c r="O511" s="1"/>
      <c r="P511" s="1"/>
      <c r="Q511" s="1"/>
    </row>
    <row r="512" spans="10:17" ht="14" x14ac:dyDescent="0.2">
      <c r="J512" s="2"/>
      <c r="O512" s="1"/>
      <c r="P512" s="1"/>
      <c r="Q512" s="1"/>
    </row>
    <row r="513" spans="10:17" ht="14" x14ac:dyDescent="0.2">
      <c r="J513" s="2"/>
      <c r="O513" s="1"/>
      <c r="P513" s="1"/>
      <c r="Q513" s="1"/>
    </row>
    <row r="514" spans="10:17" ht="14" x14ac:dyDescent="0.2">
      <c r="J514" s="2"/>
      <c r="O514" s="1"/>
      <c r="P514" s="1"/>
      <c r="Q514" s="1"/>
    </row>
    <row r="515" spans="10:17" ht="14" x14ac:dyDescent="0.2">
      <c r="J515" s="2"/>
      <c r="O515" s="1"/>
      <c r="P515" s="1"/>
      <c r="Q515" s="1"/>
    </row>
    <row r="516" spans="10:17" ht="14" x14ac:dyDescent="0.2">
      <c r="J516" s="2"/>
      <c r="O516" s="1"/>
      <c r="P516" s="1"/>
      <c r="Q516" s="1"/>
    </row>
    <row r="517" spans="10:17" ht="14" x14ac:dyDescent="0.2">
      <c r="J517" s="2"/>
      <c r="O517" s="1"/>
      <c r="P517" s="1"/>
      <c r="Q517" s="1"/>
    </row>
    <row r="518" spans="10:17" ht="14" x14ac:dyDescent="0.2">
      <c r="J518" s="2"/>
      <c r="O518" s="1"/>
      <c r="P518" s="1"/>
      <c r="Q518" s="1"/>
    </row>
    <row r="519" spans="10:17" ht="14" x14ac:dyDescent="0.2">
      <c r="J519" s="2"/>
      <c r="O519" s="1"/>
      <c r="P519" s="1"/>
      <c r="Q519" s="1"/>
    </row>
    <row r="520" spans="10:17" ht="14" x14ac:dyDescent="0.2">
      <c r="J520" s="2"/>
      <c r="O520" s="1"/>
      <c r="P520" s="1"/>
      <c r="Q520" s="1"/>
    </row>
    <row r="521" spans="10:17" ht="14" x14ac:dyDescent="0.2">
      <c r="J521" s="2"/>
      <c r="O521" s="1"/>
      <c r="P521" s="1"/>
      <c r="Q521" s="1"/>
    </row>
    <row r="522" spans="10:17" ht="14" x14ac:dyDescent="0.2">
      <c r="J522" s="2"/>
      <c r="O522" s="1"/>
      <c r="P522" s="1"/>
      <c r="Q522" s="1"/>
    </row>
    <row r="523" spans="10:17" ht="14" x14ac:dyDescent="0.2">
      <c r="J523" s="2"/>
      <c r="O523" s="1"/>
      <c r="P523" s="1"/>
      <c r="Q523" s="1"/>
    </row>
    <row r="524" spans="10:17" ht="14" x14ac:dyDescent="0.2">
      <c r="J524" s="2"/>
      <c r="O524" s="1"/>
      <c r="P524" s="1"/>
      <c r="Q524" s="1"/>
    </row>
    <row r="525" spans="10:17" ht="14" x14ac:dyDescent="0.2">
      <c r="J525" s="2"/>
      <c r="O525" s="1"/>
      <c r="P525" s="1"/>
      <c r="Q525" s="1"/>
    </row>
    <row r="526" spans="10:17" ht="14" x14ac:dyDescent="0.2">
      <c r="J526" s="2"/>
      <c r="O526" s="1"/>
      <c r="P526" s="1"/>
      <c r="Q526" s="1"/>
    </row>
    <row r="527" spans="10:17" ht="14" x14ac:dyDescent="0.2">
      <c r="J527" s="2"/>
      <c r="O527" s="1"/>
      <c r="P527" s="1"/>
      <c r="Q527" s="1"/>
    </row>
    <row r="528" spans="10:17" ht="14" x14ac:dyDescent="0.2">
      <c r="J528" s="2"/>
      <c r="O528" s="1"/>
      <c r="P528" s="1"/>
      <c r="Q528" s="1"/>
    </row>
    <row r="529" spans="10:17" ht="14" x14ac:dyDescent="0.2">
      <c r="J529" s="2"/>
      <c r="O529" s="1"/>
      <c r="P529" s="1"/>
      <c r="Q529" s="1"/>
    </row>
    <row r="530" spans="10:17" ht="14" x14ac:dyDescent="0.2">
      <c r="J530" s="2"/>
      <c r="O530" s="1"/>
      <c r="P530" s="1"/>
      <c r="Q530" s="1"/>
    </row>
    <row r="531" spans="10:17" ht="14" x14ac:dyDescent="0.2">
      <c r="J531" s="2"/>
      <c r="O531" s="1"/>
      <c r="P531" s="1"/>
      <c r="Q531" s="1"/>
    </row>
    <row r="532" spans="10:17" ht="14" x14ac:dyDescent="0.2">
      <c r="J532" s="2"/>
      <c r="O532" s="1"/>
      <c r="P532" s="1"/>
      <c r="Q532" s="1"/>
    </row>
    <row r="533" spans="10:17" ht="14" x14ac:dyDescent="0.2">
      <c r="J533" s="2"/>
      <c r="O533" s="1"/>
      <c r="P533" s="1"/>
      <c r="Q533" s="1"/>
    </row>
    <row r="534" spans="10:17" ht="14" x14ac:dyDescent="0.2">
      <c r="J534" s="2"/>
      <c r="O534" s="1"/>
      <c r="P534" s="1"/>
      <c r="Q534" s="1"/>
    </row>
    <row r="535" spans="10:17" ht="14" x14ac:dyDescent="0.2">
      <c r="J535" s="2"/>
      <c r="O535" s="1"/>
      <c r="P535" s="1"/>
      <c r="Q535" s="1"/>
    </row>
    <row r="536" spans="10:17" ht="14" x14ac:dyDescent="0.2">
      <c r="J536" s="2"/>
      <c r="O536" s="1"/>
      <c r="P536" s="1"/>
      <c r="Q536" s="1"/>
    </row>
    <row r="537" spans="10:17" ht="14" x14ac:dyDescent="0.2">
      <c r="J537" s="2"/>
      <c r="O537" s="1"/>
      <c r="P537" s="1"/>
      <c r="Q537" s="1"/>
    </row>
    <row r="538" spans="10:17" ht="14" x14ac:dyDescent="0.2">
      <c r="J538" s="2"/>
      <c r="O538" s="1"/>
      <c r="P538" s="1"/>
      <c r="Q538" s="1"/>
    </row>
    <row r="539" spans="10:17" ht="14" x14ac:dyDescent="0.2">
      <c r="J539" s="2"/>
      <c r="O539" s="1"/>
      <c r="P539" s="1"/>
      <c r="Q539" s="1"/>
    </row>
    <row r="540" spans="10:17" ht="14" x14ac:dyDescent="0.2">
      <c r="J540" s="2"/>
      <c r="O540" s="1"/>
      <c r="P540" s="1"/>
      <c r="Q540" s="1"/>
    </row>
    <row r="541" spans="10:17" ht="14" x14ac:dyDescent="0.2">
      <c r="J541" s="2"/>
      <c r="O541" s="1"/>
      <c r="P541" s="1"/>
      <c r="Q541" s="1"/>
    </row>
    <row r="542" spans="10:17" ht="14" x14ac:dyDescent="0.2">
      <c r="J542" s="2"/>
      <c r="O542" s="1"/>
      <c r="P542" s="1"/>
      <c r="Q542" s="1"/>
    </row>
    <row r="543" spans="10:17" ht="14" x14ac:dyDescent="0.2">
      <c r="J543" s="2"/>
      <c r="O543" s="1"/>
      <c r="P543" s="1"/>
      <c r="Q543" s="1"/>
    </row>
    <row r="544" spans="10:17" ht="14" x14ac:dyDescent="0.2">
      <c r="J544" s="2"/>
      <c r="O544" s="1"/>
      <c r="P544" s="1"/>
      <c r="Q544" s="1"/>
    </row>
    <row r="545" spans="10:17" ht="14" x14ac:dyDescent="0.2">
      <c r="J545" s="2"/>
      <c r="O545" s="1"/>
      <c r="P545" s="1"/>
      <c r="Q545" s="1"/>
    </row>
    <row r="546" spans="10:17" ht="14" x14ac:dyDescent="0.2">
      <c r="J546" s="2"/>
      <c r="O546" s="1"/>
      <c r="P546" s="1"/>
      <c r="Q546" s="1"/>
    </row>
    <row r="547" spans="10:17" ht="14" x14ac:dyDescent="0.2">
      <c r="J547" s="2"/>
      <c r="O547" s="1"/>
      <c r="P547" s="1"/>
      <c r="Q547" s="1"/>
    </row>
    <row r="548" spans="10:17" ht="14" x14ac:dyDescent="0.2">
      <c r="J548" s="2"/>
      <c r="O548" s="1"/>
      <c r="P548" s="1"/>
      <c r="Q548" s="1"/>
    </row>
    <row r="549" spans="10:17" ht="14" x14ac:dyDescent="0.2">
      <c r="J549" s="2"/>
      <c r="O549" s="1"/>
      <c r="P549" s="1"/>
      <c r="Q549" s="1"/>
    </row>
    <row r="550" spans="10:17" ht="14" x14ac:dyDescent="0.2">
      <c r="J550" s="2"/>
      <c r="O550" s="1"/>
      <c r="P550" s="1"/>
      <c r="Q550" s="1"/>
    </row>
    <row r="551" spans="10:17" ht="14" x14ac:dyDescent="0.2">
      <c r="J551" s="2"/>
      <c r="O551" s="1"/>
      <c r="P551" s="1"/>
      <c r="Q551" s="1"/>
    </row>
    <row r="552" spans="10:17" ht="14" x14ac:dyDescent="0.2">
      <c r="J552" s="2"/>
      <c r="O552" s="1"/>
      <c r="P552" s="1"/>
      <c r="Q552" s="1"/>
    </row>
    <row r="553" spans="10:17" ht="14" x14ac:dyDescent="0.2">
      <c r="J553" s="2"/>
      <c r="O553" s="1"/>
      <c r="P553" s="1"/>
      <c r="Q553" s="1"/>
    </row>
    <row r="554" spans="10:17" ht="14" x14ac:dyDescent="0.2">
      <c r="J554" s="2"/>
      <c r="O554" s="1"/>
      <c r="P554" s="1"/>
      <c r="Q554" s="1"/>
    </row>
    <row r="555" spans="10:17" ht="14" x14ac:dyDescent="0.2">
      <c r="J555" s="2"/>
      <c r="O555" s="1"/>
      <c r="P555" s="1"/>
      <c r="Q555" s="1"/>
    </row>
    <row r="556" spans="10:17" ht="14" x14ac:dyDescent="0.2">
      <c r="J556" s="2"/>
      <c r="O556" s="1"/>
      <c r="P556" s="1"/>
      <c r="Q556" s="1"/>
    </row>
    <row r="557" spans="10:17" ht="14" x14ac:dyDescent="0.2">
      <c r="J557" s="2"/>
      <c r="O557" s="1"/>
      <c r="P557" s="1"/>
      <c r="Q557" s="1"/>
    </row>
    <row r="558" spans="10:17" ht="14" x14ac:dyDescent="0.2">
      <c r="J558" s="2"/>
      <c r="O558" s="1"/>
      <c r="P558" s="1"/>
      <c r="Q558" s="1"/>
    </row>
    <row r="559" spans="10:17" ht="14" x14ac:dyDescent="0.2">
      <c r="J559" s="2"/>
      <c r="O559" s="1"/>
      <c r="P559" s="1"/>
      <c r="Q559" s="1"/>
    </row>
    <row r="560" spans="10:17" ht="14" x14ac:dyDescent="0.2">
      <c r="J560" s="2"/>
      <c r="O560" s="1"/>
      <c r="P560" s="1"/>
      <c r="Q560" s="1"/>
    </row>
    <row r="561" spans="10:17" ht="14" x14ac:dyDescent="0.2">
      <c r="J561" s="2"/>
      <c r="O561" s="1"/>
      <c r="P561" s="1"/>
      <c r="Q561" s="1"/>
    </row>
    <row r="562" spans="10:17" ht="14" x14ac:dyDescent="0.2">
      <c r="J562" s="2"/>
      <c r="O562" s="1"/>
      <c r="P562" s="1"/>
      <c r="Q562" s="1"/>
    </row>
    <row r="563" spans="10:17" ht="14" x14ac:dyDescent="0.2">
      <c r="J563" s="2"/>
      <c r="O563" s="1"/>
      <c r="P563" s="1"/>
      <c r="Q563" s="1"/>
    </row>
    <row r="564" spans="10:17" ht="14" x14ac:dyDescent="0.2">
      <c r="J564" s="2"/>
      <c r="O564" s="1"/>
      <c r="P564" s="1"/>
      <c r="Q564" s="1"/>
    </row>
    <row r="565" spans="10:17" ht="14" x14ac:dyDescent="0.2">
      <c r="J565" s="2"/>
      <c r="O565" s="1"/>
      <c r="P565" s="1"/>
      <c r="Q565" s="1"/>
    </row>
    <row r="566" spans="10:17" ht="14" x14ac:dyDescent="0.2">
      <c r="J566" s="2"/>
      <c r="O566" s="1"/>
      <c r="P566" s="1"/>
      <c r="Q566" s="1"/>
    </row>
    <row r="567" spans="10:17" ht="14" x14ac:dyDescent="0.2">
      <c r="J567" s="2"/>
      <c r="O567" s="1"/>
      <c r="P567" s="1"/>
      <c r="Q567" s="1"/>
    </row>
    <row r="568" spans="10:17" ht="14" x14ac:dyDescent="0.2">
      <c r="J568" s="2"/>
      <c r="O568" s="1"/>
      <c r="P568" s="1"/>
      <c r="Q568" s="1"/>
    </row>
    <row r="569" spans="10:17" ht="14" x14ac:dyDescent="0.2">
      <c r="J569" s="2"/>
      <c r="O569" s="1"/>
      <c r="P569" s="1"/>
      <c r="Q569" s="1"/>
    </row>
    <row r="570" spans="10:17" ht="14" x14ac:dyDescent="0.2">
      <c r="J570" s="2"/>
      <c r="O570" s="1"/>
      <c r="P570" s="1"/>
      <c r="Q570" s="1"/>
    </row>
    <row r="571" spans="10:17" ht="14" x14ac:dyDescent="0.2">
      <c r="J571" s="2"/>
      <c r="O571" s="1"/>
      <c r="P571" s="1"/>
      <c r="Q571" s="1"/>
    </row>
    <row r="572" spans="10:17" ht="14" x14ac:dyDescent="0.2">
      <c r="J572" s="2"/>
      <c r="O572" s="1"/>
      <c r="P572" s="1"/>
      <c r="Q572" s="1"/>
    </row>
    <row r="573" spans="10:17" ht="14" x14ac:dyDescent="0.2">
      <c r="J573" s="2"/>
      <c r="O573" s="1"/>
      <c r="P573" s="1"/>
      <c r="Q573" s="1"/>
    </row>
    <row r="574" spans="10:17" ht="14" x14ac:dyDescent="0.2">
      <c r="J574" s="2"/>
      <c r="O574" s="1"/>
      <c r="P574" s="1"/>
      <c r="Q574" s="1"/>
    </row>
    <row r="575" spans="10:17" ht="14" x14ac:dyDescent="0.2">
      <c r="J575" s="2"/>
      <c r="O575" s="1"/>
      <c r="P575" s="1"/>
      <c r="Q575" s="1"/>
    </row>
    <row r="576" spans="10:17" ht="14" x14ac:dyDescent="0.2">
      <c r="J576" s="2"/>
      <c r="O576" s="1"/>
      <c r="P576" s="1"/>
      <c r="Q576" s="1"/>
    </row>
    <row r="577" spans="10:17" ht="14" x14ac:dyDescent="0.2">
      <c r="J577" s="2"/>
      <c r="O577" s="1"/>
      <c r="P577" s="1"/>
      <c r="Q577" s="1"/>
    </row>
    <row r="578" spans="10:17" ht="14" x14ac:dyDescent="0.2">
      <c r="J578" s="2"/>
      <c r="O578" s="1"/>
      <c r="P578" s="1"/>
      <c r="Q578" s="1"/>
    </row>
    <row r="579" spans="10:17" ht="14" x14ac:dyDescent="0.2">
      <c r="J579" s="2"/>
      <c r="O579" s="1"/>
      <c r="P579" s="1"/>
      <c r="Q579" s="1"/>
    </row>
    <row r="580" spans="10:17" ht="14" x14ac:dyDescent="0.2">
      <c r="J580" s="2"/>
      <c r="O580" s="1"/>
      <c r="P580" s="1"/>
      <c r="Q580" s="1"/>
    </row>
    <row r="581" spans="10:17" ht="14" x14ac:dyDescent="0.2">
      <c r="J581" s="2"/>
      <c r="O581" s="1"/>
      <c r="P581" s="1"/>
      <c r="Q581" s="1"/>
    </row>
    <row r="582" spans="10:17" ht="14" x14ac:dyDescent="0.2">
      <c r="J582" s="2"/>
      <c r="O582" s="1"/>
      <c r="P582" s="1"/>
      <c r="Q582" s="1"/>
    </row>
    <row r="583" spans="10:17" ht="14" x14ac:dyDescent="0.2">
      <c r="J583" s="2"/>
      <c r="O583" s="1"/>
      <c r="P583" s="1"/>
      <c r="Q583" s="1"/>
    </row>
    <row r="584" spans="10:17" ht="14" x14ac:dyDescent="0.2">
      <c r="J584" s="2"/>
      <c r="O584" s="1"/>
      <c r="P584" s="1"/>
      <c r="Q584" s="1"/>
    </row>
    <row r="585" spans="10:17" ht="14" x14ac:dyDescent="0.2">
      <c r="J585" s="2"/>
      <c r="O585" s="1"/>
      <c r="P585" s="1"/>
      <c r="Q585" s="1"/>
    </row>
    <row r="586" spans="10:17" ht="14" x14ac:dyDescent="0.2">
      <c r="J586" s="2"/>
      <c r="O586" s="1"/>
      <c r="P586" s="1"/>
      <c r="Q586" s="1"/>
    </row>
    <row r="587" spans="10:17" ht="14" x14ac:dyDescent="0.2">
      <c r="J587" s="2"/>
      <c r="O587" s="1"/>
      <c r="P587" s="1"/>
      <c r="Q587" s="1"/>
    </row>
    <row r="588" spans="10:17" ht="14" x14ac:dyDescent="0.2">
      <c r="J588" s="2"/>
      <c r="O588" s="1"/>
      <c r="P588" s="1"/>
      <c r="Q588" s="1"/>
    </row>
    <row r="589" spans="10:17" ht="14" x14ac:dyDescent="0.2">
      <c r="J589" s="2"/>
      <c r="O589" s="1"/>
      <c r="P589" s="1"/>
      <c r="Q589" s="1"/>
    </row>
    <row r="590" spans="10:17" ht="14" x14ac:dyDescent="0.2">
      <c r="J590" s="2"/>
      <c r="O590" s="1"/>
      <c r="P590" s="1"/>
      <c r="Q590" s="1"/>
    </row>
    <row r="591" spans="10:17" ht="14" x14ac:dyDescent="0.2">
      <c r="J591" s="2"/>
      <c r="O591" s="1"/>
      <c r="P591" s="1"/>
      <c r="Q591" s="1"/>
    </row>
    <row r="592" spans="10:17" ht="14" x14ac:dyDescent="0.2">
      <c r="J592" s="2"/>
      <c r="O592" s="1"/>
      <c r="P592" s="1"/>
      <c r="Q592" s="1"/>
    </row>
    <row r="593" spans="10:17" ht="14" x14ac:dyDescent="0.2">
      <c r="J593" s="2"/>
      <c r="O593" s="1"/>
      <c r="P593" s="1"/>
      <c r="Q593" s="1"/>
    </row>
    <row r="594" spans="10:17" ht="14" x14ac:dyDescent="0.2">
      <c r="J594" s="2"/>
      <c r="O594" s="1"/>
      <c r="P594" s="1"/>
      <c r="Q594" s="1"/>
    </row>
    <row r="595" spans="10:17" ht="14" x14ac:dyDescent="0.2">
      <c r="J595" s="2"/>
      <c r="O595" s="1"/>
      <c r="P595" s="1"/>
      <c r="Q595" s="1"/>
    </row>
    <row r="596" spans="10:17" ht="14" x14ac:dyDescent="0.2">
      <c r="J596" s="2"/>
      <c r="O596" s="1"/>
      <c r="P596" s="1"/>
      <c r="Q596" s="1"/>
    </row>
    <row r="597" spans="10:17" ht="14" x14ac:dyDescent="0.2">
      <c r="J597" s="2"/>
      <c r="O597" s="1"/>
      <c r="P597" s="1"/>
      <c r="Q597" s="1"/>
    </row>
    <row r="598" spans="10:17" ht="14" x14ac:dyDescent="0.2">
      <c r="J598" s="2"/>
      <c r="O598" s="1"/>
      <c r="P598" s="1"/>
      <c r="Q598" s="1"/>
    </row>
    <row r="599" spans="10:17" ht="14" x14ac:dyDescent="0.2">
      <c r="J599" s="2"/>
      <c r="O599" s="1"/>
      <c r="P599" s="1"/>
      <c r="Q599" s="1"/>
    </row>
    <row r="600" spans="10:17" ht="14" x14ac:dyDescent="0.2">
      <c r="J600" s="2"/>
      <c r="O600" s="1"/>
      <c r="P600" s="1"/>
      <c r="Q600" s="1"/>
    </row>
    <row r="601" spans="10:17" ht="14" x14ac:dyDescent="0.2">
      <c r="J601" s="2"/>
      <c r="O601" s="1"/>
      <c r="P601" s="1"/>
      <c r="Q601" s="1"/>
    </row>
    <row r="602" spans="10:17" ht="14" x14ac:dyDescent="0.2">
      <c r="J602" s="2"/>
      <c r="O602" s="1"/>
      <c r="P602" s="1"/>
      <c r="Q602" s="1"/>
    </row>
    <row r="603" spans="10:17" ht="14" x14ac:dyDescent="0.2">
      <c r="J603" s="2"/>
      <c r="O603" s="1"/>
      <c r="P603" s="1"/>
      <c r="Q603" s="1"/>
    </row>
    <row r="604" spans="10:17" ht="14" x14ac:dyDescent="0.2">
      <c r="J604" s="2"/>
      <c r="O604" s="1"/>
      <c r="P604" s="1"/>
      <c r="Q604" s="1"/>
    </row>
    <row r="605" spans="10:17" ht="14" x14ac:dyDescent="0.2">
      <c r="J605" s="2"/>
      <c r="O605" s="1"/>
      <c r="P605" s="1"/>
      <c r="Q605" s="1"/>
    </row>
    <row r="606" spans="10:17" ht="14" x14ac:dyDescent="0.2">
      <c r="J606" s="2"/>
      <c r="O606" s="1"/>
      <c r="P606" s="1"/>
      <c r="Q606" s="1"/>
    </row>
    <row r="607" spans="10:17" ht="14" x14ac:dyDescent="0.2">
      <c r="J607" s="2"/>
      <c r="O607" s="1"/>
      <c r="P607" s="1"/>
      <c r="Q607" s="1"/>
    </row>
    <row r="608" spans="10:17" ht="14" x14ac:dyDescent="0.2">
      <c r="J608" s="2"/>
      <c r="O608" s="1"/>
      <c r="P608" s="1"/>
      <c r="Q608" s="1"/>
    </row>
    <row r="609" spans="10:17" ht="14" x14ac:dyDescent="0.2">
      <c r="J609" s="2"/>
      <c r="O609" s="1"/>
      <c r="P609" s="1"/>
      <c r="Q609" s="1"/>
    </row>
    <row r="610" spans="10:17" ht="14" x14ac:dyDescent="0.2">
      <c r="J610" s="2"/>
      <c r="O610" s="1"/>
      <c r="P610" s="1"/>
      <c r="Q610" s="1"/>
    </row>
    <row r="611" spans="10:17" ht="14" x14ac:dyDescent="0.2">
      <c r="J611" s="2"/>
      <c r="O611" s="1"/>
      <c r="P611" s="1"/>
      <c r="Q611" s="1"/>
    </row>
    <row r="612" spans="10:17" ht="14" x14ac:dyDescent="0.2">
      <c r="J612" s="2"/>
      <c r="O612" s="1"/>
      <c r="P612" s="1"/>
      <c r="Q612" s="1"/>
    </row>
    <row r="613" spans="10:17" ht="14" x14ac:dyDescent="0.2">
      <c r="J613" s="2"/>
      <c r="O613" s="1"/>
      <c r="P613" s="1"/>
      <c r="Q613" s="1"/>
    </row>
    <row r="614" spans="10:17" ht="14" x14ac:dyDescent="0.2">
      <c r="J614" s="2"/>
      <c r="O614" s="1"/>
      <c r="P614" s="1"/>
      <c r="Q614" s="1"/>
    </row>
    <row r="615" spans="10:17" ht="14" x14ac:dyDescent="0.2">
      <c r="J615" s="2"/>
      <c r="O615" s="1"/>
      <c r="P615" s="1"/>
      <c r="Q615" s="1"/>
    </row>
    <row r="616" spans="10:17" ht="14" x14ac:dyDescent="0.2">
      <c r="J616" s="2"/>
      <c r="O616" s="1"/>
      <c r="P616" s="1"/>
      <c r="Q616" s="1"/>
    </row>
    <row r="617" spans="10:17" ht="14" x14ac:dyDescent="0.2">
      <c r="J617" s="2"/>
      <c r="O617" s="1"/>
      <c r="P617" s="1"/>
      <c r="Q617" s="1"/>
    </row>
    <row r="618" spans="10:17" ht="14" x14ac:dyDescent="0.2">
      <c r="J618" s="2"/>
      <c r="O618" s="1"/>
      <c r="P618" s="1"/>
      <c r="Q618" s="1"/>
    </row>
    <row r="619" spans="10:17" ht="14" x14ac:dyDescent="0.2">
      <c r="J619" s="2"/>
      <c r="O619" s="1"/>
      <c r="P619" s="1"/>
      <c r="Q619" s="1"/>
    </row>
    <row r="620" spans="10:17" ht="14" x14ac:dyDescent="0.2">
      <c r="J620" s="2"/>
      <c r="O620" s="1"/>
      <c r="P620" s="1"/>
      <c r="Q620" s="1"/>
    </row>
    <row r="621" spans="10:17" ht="14" x14ac:dyDescent="0.2">
      <c r="J621" s="2"/>
      <c r="O621" s="1"/>
      <c r="P621" s="1"/>
      <c r="Q621" s="1"/>
    </row>
    <row r="622" spans="10:17" ht="14" x14ac:dyDescent="0.2">
      <c r="J622" s="2"/>
      <c r="O622" s="1"/>
      <c r="P622" s="1"/>
      <c r="Q622" s="1"/>
    </row>
    <row r="623" spans="10:17" ht="14" x14ac:dyDescent="0.2">
      <c r="J623" s="2"/>
      <c r="O623" s="1"/>
      <c r="P623" s="1"/>
      <c r="Q623" s="1"/>
    </row>
    <row r="624" spans="10:17" ht="14" x14ac:dyDescent="0.2">
      <c r="J624" s="2"/>
      <c r="O624" s="1"/>
      <c r="P624" s="1"/>
      <c r="Q624" s="1"/>
    </row>
    <row r="625" spans="10:17" ht="14" x14ac:dyDescent="0.2">
      <c r="J625" s="2"/>
      <c r="O625" s="1"/>
      <c r="P625" s="1"/>
      <c r="Q625" s="1"/>
    </row>
    <row r="626" spans="10:17" ht="14" x14ac:dyDescent="0.2">
      <c r="J626" s="2"/>
      <c r="O626" s="1"/>
      <c r="P626" s="1"/>
      <c r="Q626" s="1"/>
    </row>
    <row r="627" spans="10:17" ht="14" x14ac:dyDescent="0.2">
      <c r="J627" s="2"/>
      <c r="O627" s="1"/>
      <c r="P627" s="1"/>
      <c r="Q627" s="1"/>
    </row>
    <row r="628" spans="10:17" ht="14" x14ac:dyDescent="0.2">
      <c r="J628" s="2"/>
      <c r="O628" s="1"/>
      <c r="P628" s="1"/>
      <c r="Q628" s="1"/>
    </row>
    <row r="629" spans="10:17" ht="14" x14ac:dyDescent="0.2">
      <c r="J629" s="2"/>
      <c r="O629" s="1"/>
      <c r="P629" s="1"/>
      <c r="Q629" s="1"/>
    </row>
    <row r="630" spans="10:17" ht="14" x14ac:dyDescent="0.2">
      <c r="J630" s="2"/>
      <c r="O630" s="1"/>
      <c r="P630" s="1"/>
      <c r="Q630" s="1"/>
    </row>
    <row r="631" spans="10:17" ht="14" x14ac:dyDescent="0.2">
      <c r="J631" s="2"/>
      <c r="O631" s="1"/>
      <c r="P631" s="1"/>
      <c r="Q631" s="1"/>
    </row>
    <row r="632" spans="10:17" ht="14" x14ac:dyDescent="0.2">
      <c r="J632" s="2"/>
      <c r="O632" s="1"/>
      <c r="P632" s="1"/>
      <c r="Q632" s="1"/>
    </row>
    <row r="633" spans="10:17" ht="14" x14ac:dyDescent="0.2">
      <c r="J633" s="2"/>
      <c r="O633" s="1"/>
      <c r="P633" s="1"/>
      <c r="Q633" s="1"/>
    </row>
    <row r="634" spans="10:17" ht="14" x14ac:dyDescent="0.2">
      <c r="J634" s="2"/>
      <c r="O634" s="1"/>
      <c r="P634" s="1"/>
      <c r="Q634" s="1"/>
    </row>
    <row r="635" spans="10:17" ht="14" x14ac:dyDescent="0.2">
      <c r="J635" s="2"/>
      <c r="O635" s="1"/>
      <c r="P635" s="1"/>
      <c r="Q635" s="1"/>
    </row>
    <row r="636" spans="10:17" ht="14" x14ac:dyDescent="0.2">
      <c r="J636" s="2"/>
      <c r="O636" s="1"/>
      <c r="P636" s="1"/>
      <c r="Q636" s="1"/>
    </row>
    <row r="637" spans="10:17" ht="14" x14ac:dyDescent="0.2">
      <c r="J637" s="2"/>
      <c r="O637" s="1"/>
      <c r="P637" s="1"/>
      <c r="Q637" s="1"/>
    </row>
    <row r="638" spans="10:17" ht="14" x14ac:dyDescent="0.2">
      <c r="J638" s="2"/>
      <c r="O638" s="1"/>
      <c r="P638" s="1"/>
      <c r="Q638" s="1"/>
    </row>
    <row r="639" spans="10:17" ht="14" x14ac:dyDescent="0.2">
      <c r="J639" s="2"/>
      <c r="O639" s="1"/>
      <c r="P639" s="1"/>
      <c r="Q639" s="1"/>
    </row>
    <row r="640" spans="10:17" ht="14" x14ac:dyDescent="0.2">
      <c r="J640" s="2"/>
      <c r="O640" s="1"/>
      <c r="P640" s="1"/>
      <c r="Q640" s="1"/>
    </row>
    <row r="641" spans="10:17" ht="14" x14ac:dyDescent="0.2">
      <c r="J641" s="2"/>
      <c r="O641" s="1"/>
      <c r="P641" s="1"/>
      <c r="Q641" s="1"/>
    </row>
    <row r="642" spans="10:17" ht="14" x14ac:dyDescent="0.2">
      <c r="J642" s="2"/>
      <c r="O642" s="1"/>
      <c r="P642" s="1"/>
      <c r="Q642" s="1"/>
    </row>
    <row r="643" spans="10:17" ht="14" x14ac:dyDescent="0.2">
      <c r="J643" s="2"/>
      <c r="O643" s="1"/>
      <c r="P643" s="1"/>
      <c r="Q643" s="1"/>
    </row>
    <row r="644" spans="10:17" ht="14" x14ac:dyDescent="0.2">
      <c r="J644" s="2"/>
      <c r="O644" s="1"/>
      <c r="P644" s="1"/>
      <c r="Q644" s="1"/>
    </row>
    <row r="645" spans="10:17" ht="14" x14ac:dyDescent="0.2">
      <c r="J645" s="2"/>
      <c r="O645" s="1"/>
      <c r="P645" s="1"/>
      <c r="Q645" s="1"/>
    </row>
    <row r="646" spans="10:17" ht="14" x14ac:dyDescent="0.2">
      <c r="J646" s="2"/>
      <c r="O646" s="1"/>
      <c r="P646" s="1"/>
      <c r="Q646" s="1"/>
    </row>
    <row r="647" spans="10:17" ht="14" x14ac:dyDescent="0.2">
      <c r="J647" s="2"/>
      <c r="O647" s="1"/>
      <c r="P647" s="1"/>
      <c r="Q647" s="1"/>
    </row>
    <row r="648" spans="10:17" ht="14" x14ac:dyDescent="0.2">
      <c r="J648" s="2"/>
      <c r="O648" s="1"/>
      <c r="P648" s="1"/>
      <c r="Q648" s="1"/>
    </row>
    <row r="649" spans="10:17" ht="14" x14ac:dyDescent="0.2">
      <c r="J649" s="2"/>
      <c r="O649" s="1"/>
      <c r="P649" s="1"/>
      <c r="Q649" s="1"/>
    </row>
    <row r="650" spans="10:17" ht="14" x14ac:dyDescent="0.2">
      <c r="J650" s="2"/>
      <c r="O650" s="1"/>
      <c r="P650" s="1"/>
      <c r="Q650" s="1"/>
    </row>
    <row r="651" spans="10:17" ht="14" x14ac:dyDescent="0.2">
      <c r="J651" s="2"/>
      <c r="O651" s="1"/>
      <c r="P651" s="1"/>
      <c r="Q651" s="1"/>
    </row>
    <row r="652" spans="10:17" ht="14" x14ac:dyDescent="0.2">
      <c r="J652" s="2"/>
      <c r="O652" s="1"/>
      <c r="P652" s="1"/>
      <c r="Q652" s="1"/>
    </row>
    <row r="653" spans="10:17" ht="14" x14ac:dyDescent="0.2">
      <c r="J653" s="2"/>
      <c r="O653" s="1"/>
      <c r="P653" s="1"/>
      <c r="Q653" s="1"/>
    </row>
    <row r="654" spans="10:17" ht="14" x14ac:dyDescent="0.2">
      <c r="J654" s="2"/>
      <c r="O654" s="1"/>
      <c r="P654" s="1"/>
      <c r="Q654" s="1"/>
    </row>
    <row r="655" spans="10:17" ht="14" x14ac:dyDescent="0.2">
      <c r="J655" s="2"/>
      <c r="O655" s="1"/>
      <c r="P655" s="1"/>
      <c r="Q655" s="1"/>
    </row>
    <row r="656" spans="10:17" ht="14" x14ac:dyDescent="0.2">
      <c r="J656" s="2"/>
      <c r="O656" s="1"/>
      <c r="P656" s="1"/>
      <c r="Q656" s="1"/>
    </row>
    <row r="657" spans="10:17" ht="14" x14ac:dyDescent="0.2">
      <c r="J657" s="2"/>
      <c r="O657" s="1"/>
      <c r="P657" s="1"/>
      <c r="Q657" s="1"/>
    </row>
    <row r="658" spans="10:17" ht="14" x14ac:dyDescent="0.2">
      <c r="J658" s="2"/>
      <c r="O658" s="1"/>
      <c r="P658" s="1"/>
      <c r="Q658" s="1"/>
    </row>
    <row r="659" spans="10:17" ht="14" x14ac:dyDescent="0.2">
      <c r="J659" s="2"/>
      <c r="O659" s="1"/>
      <c r="P659" s="1"/>
      <c r="Q659" s="1"/>
    </row>
    <row r="660" spans="10:17" ht="14" x14ac:dyDescent="0.2">
      <c r="J660" s="2"/>
      <c r="O660" s="1"/>
      <c r="P660" s="1"/>
      <c r="Q660" s="1"/>
    </row>
    <row r="661" spans="10:17" ht="14" x14ac:dyDescent="0.2">
      <c r="J661" s="2"/>
      <c r="O661" s="1"/>
      <c r="P661" s="1"/>
      <c r="Q661" s="1"/>
    </row>
    <row r="662" spans="10:17" ht="14" x14ac:dyDescent="0.2">
      <c r="J662" s="2"/>
      <c r="O662" s="1"/>
      <c r="P662" s="1"/>
      <c r="Q662" s="1"/>
    </row>
    <row r="663" spans="10:17" ht="14" x14ac:dyDescent="0.2">
      <c r="J663" s="2"/>
      <c r="O663" s="1"/>
      <c r="P663" s="1"/>
      <c r="Q663" s="1"/>
    </row>
    <row r="664" spans="10:17" ht="14" x14ac:dyDescent="0.2">
      <c r="J664" s="2"/>
      <c r="O664" s="1"/>
      <c r="P664" s="1"/>
      <c r="Q664" s="1"/>
    </row>
    <row r="665" spans="10:17" ht="14" x14ac:dyDescent="0.2">
      <c r="J665" s="2"/>
      <c r="O665" s="1"/>
      <c r="P665" s="1"/>
      <c r="Q665" s="1"/>
    </row>
    <row r="666" spans="10:17" ht="14" x14ac:dyDescent="0.2">
      <c r="J666" s="2"/>
      <c r="O666" s="1"/>
      <c r="P666" s="1"/>
      <c r="Q666" s="1"/>
    </row>
    <row r="667" spans="10:17" ht="14" x14ac:dyDescent="0.2">
      <c r="J667" s="2"/>
      <c r="O667" s="1"/>
      <c r="P667" s="1"/>
      <c r="Q667" s="1"/>
    </row>
    <row r="668" spans="10:17" ht="14" x14ac:dyDescent="0.2">
      <c r="J668" s="2"/>
      <c r="O668" s="1"/>
      <c r="P668" s="1"/>
      <c r="Q668" s="1"/>
    </row>
    <row r="669" spans="10:17" ht="14" x14ac:dyDescent="0.2">
      <c r="J669" s="2"/>
      <c r="O669" s="1"/>
      <c r="P669" s="1"/>
      <c r="Q669" s="1"/>
    </row>
    <row r="670" spans="10:17" ht="14" x14ac:dyDescent="0.2">
      <c r="J670" s="2"/>
      <c r="O670" s="1"/>
      <c r="P670" s="1"/>
      <c r="Q670" s="1"/>
    </row>
    <row r="671" spans="10:17" ht="14" x14ac:dyDescent="0.2">
      <c r="J671" s="2"/>
      <c r="O671" s="1"/>
      <c r="P671" s="1"/>
      <c r="Q671" s="1"/>
    </row>
    <row r="672" spans="10:17" ht="14" x14ac:dyDescent="0.2">
      <c r="J672" s="2"/>
      <c r="O672" s="1"/>
      <c r="P672" s="1"/>
      <c r="Q672" s="1"/>
    </row>
    <row r="673" spans="10:17" ht="14" x14ac:dyDescent="0.2">
      <c r="J673" s="2"/>
      <c r="O673" s="1"/>
      <c r="P673" s="1"/>
      <c r="Q673" s="1"/>
    </row>
    <row r="674" spans="10:17" ht="14" x14ac:dyDescent="0.2">
      <c r="J674" s="2"/>
      <c r="O674" s="1"/>
      <c r="P674" s="1"/>
      <c r="Q674" s="1"/>
    </row>
    <row r="675" spans="10:17" ht="14" x14ac:dyDescent="0.2">
      <c r="J675" s="2"/>
      <c r="O675" s="1"/>
      <c r="P675" s="1"/>
      <c r="Q675" s="1"/>
    </row>
    <row r="676" spans="10:17" ht="14" x14ac:dyDescent="0.2">
      <c r="J676" s="2"/>
      <c r="O676" s="1"/>
      <c r="P676" s="1"/>
      <c r="Q676" s="1"/>
    </row>
    <row r="677" spans="10:17" ht="14" x14ac:dyDescent="0.2">
      <c r="J677" s="2"/>
      <c r="O677" s="1"/>
      <c r="P677" s="1"/>
      <c r="Q677" s="1"/>
    </row>
    <row r="678" spans="10:17" ht="14" x14ac:dyDescent="0.2">
      <c r="J678" s="2"/>
      <c r="O678" s="1"/>
      <c r="P678" s="1"/>
      <c r="Q678" s="1"/>
    </row>
    <row r="679" spans="10:17" ht="14" x14ac:dyDescent="0.2">
      <c r="J679" s="2"/>
      <c r="O679" s="1"/>
      <c r="P679" s="1"/>
      <c r="Q679" s="1"/>
    </row>
    <row r="680" spans="10:17" ht="14" x14ac:dyDescent="0.2">
      <c r="J680" s="2"/>
      <c r="O680" s="1"/>
      <c r="P680" s="1"/>
      <c r="Q680" s="1"/>
    </row>
    <row r="681" spans="10:17" ht="14" x14ac:dyDescent="0.2">
      <c r="J681" s="2"/>
      <c r="O681" s="1"/>
      <c r="P681" s="1"/>
      <c r="Q681" s="1"/>
    </row>
    <row r="682" spans="10:17" ht="14" x14ac:dyDescent="0.2">
      <c r="J682" s="2"/>
      <c r="O682" s="1"/>
      <c r="P682" s="1"/>
      <c r="Q682" s="1"/>
    </row>
    <row r="683" spans="10:17" ht="14" x14ac:dyDescent="0.2">
      <c r="J683" s="2"/>
      <c r="O683" s="1"/>
      <c r="P683" s="1"/>
      <c r="Q683" s="1"/>
    </row>
    <row r="684" spans="10:17" ht="14" x14ac:dyDescent="0.2">
      <c r="J684" s="2"/>
      <c r="O684" s="1"/>
      <c r="P684" s="1"/>
      <c r="Q684" s="1"/>
    </row>
    <row r="685" spans="10:17" ht="14" x14ac:dyDescent="0.2">
      <c r="J685" s="2"/>
      <c r="O685" s="1"/>
      <c r="P685" s="1"/>
      <c r="Q685" s="1"/>
    </row>
    <row r="686" spans="10:17" ht="14" x14ac:dyDescent="0.2">
      <c r="J686" s="2"/>
      <c r="O686" s="1"/>
      <c r="P686" s="1"/>
      <c r="Q686" s="1"/>
    </row>
    <row r="687" spans="10:17" ht="14" x14ac:dyDescent="0.2">
      <c r="J687" s="2"/>
      <c r="O687" s="1"/>
      <c r="P687" s="1"/>
      <c r="Q687" s="1"/>
    </row>
    <row r="688" spans="10:17" ht="14" x14ac:dyDescent="0.2">
      <c r="J688" s="2"/>
      <c r="O688" s="1"/>
      <c r="P688" s="1"/>
      <c r="Q688" s="1"/>
    </row>
    <row r="689" spans="10:17" ht="14" x14ac:dyDescent="0.2">
      <c r="J689" s="2"/>
      <c r="O689" s="1"/>
      <c r="P689" s="1"/>
      <c r="Q689" s="1"/>
    </row>
    <row r="690" spans="10:17" ht="14" x14ac:dyDescent="0.2">
      <c r="J690" s="2"/>
      <c r="O690" s="1"/>
      <c r="P690" s="1"/>
      <c r="Q690" s="1"/>
    </row>
    <row r="691" spans="10:17" ht="14" x14ac:dyDescent="0.2">
      <c r="J691" s="2"/>
      <c r="O691" s="1"/>
      <c r="P691" s="1"/>
      <c r="Q691" s="1"/>
    </row>
    <row r="692" spans="10:17" ht="14" x14ac:dyDescent="0.2">
      <c r="J692" s="2"/>
      <c r="O692" s="1"/>
      <c r="P692" s="1"/>
      <c r="Q692" s="1"/>
    </row>
    <row r="693" spans="10:17" ht="14" x14ac:dyDescent="0.2">
      <c r="J693" s="2"/>
      <c r="O693" s="1"/>
      <c r="P693" s="1"/>
      <c r="Q693" s="1"/>
    </row>
    <row r="694" spans="10:17" ht="14" x14ac:dyDescent="0.2">
      <c r="J694" s="2"/>
      <c r="O694" s="1"/>
      <c r="P694" s="1"/>
      <c r="Q694" s="1"/>
    </row>
    <row r="695" spans="10:17" ht="14" x14ac:dyDescent="0.2">
      <c r="J695" s="2"/>
      <c r="O695" s="1"/>
      <c r="P695" s="1"/>
      <c r="Q695" s="1"/>
    </row>
    <row r="696" spans="10:17" ht="14" x14ac:dyDescent="0.2">
      <c r="J696" s="2"/>
      <c r="O696" s="1"/>
      <c r="P696" s="1"/>
      <c r="Q696" s="1"/>
    </row>
    <row r="697" spans="10:17" ht="14" x14ac:dyDescent="0.2">
      <c r="J697" s="2"/>
      <c r="O697" s="1"/>
      <c r="P697" s="1"/>
      <c r="Q697" s="1"/>
    </row>
    <row r="698" spans="10:17" ht="14" x14ac:dyDescent="0.2">
      <c r="J698" s="2"/>
      <c r="O698" s="1"/>
      <c r="P698" s="1"/>
      <c r="Q698" s="1"/>
    </row>
    <row r="699" spans="10:17" ht="14" x14ac:dyDescent="0.2">
      <c r="J699" s="2"/>
      <c r="O699" s="1"/>
      <c r="P699" s="1"/>
      <c r="Q699" s="1"/>
    </row>
    <row r="700" spans="10:17" ht="14" x14ac:dyDescent="0.2">
      <c r="J700" s="2"/>
      <c r="O700" s="1"/>
      <c r="P700" s="1"/>
      <c r="Q700" s="1"/>
    </row>
    <row r="701" spans="10:17" ht="14" x14ac:dyDescent="0.2">
      <c r="J701" s="2"/>
      <c r="O701" s="1"/>
      <c r="P701" s="1"/>
      <c r="Q701" s="1"/>
    </row>
    <row r="702" spans="10:17" ht="14" x14ac:dyDescent="0.2">
      <c r="J702" s="2"/>
      <c r="O702" s="1"/>
      <c r="P702" s="1"/>
      <c r="Q702" s="1"/>
    </row>
    <row r="703" spans="10:17" ht="14" x14ac:dyDescent="0.2">
      <c r="J703" s="2"/>
      <c r="O703" s="1"/>
      <c r="P703" s="1"/>
      <c r="Q703" s="1"/>
    </row>
    <row r="704" spans="10:17" ht="14" x14ac:dyDescent="0.2">
      <c r="J704" s="2"/>
      <c r="O704" s="1"/>
      <c r="P704" s="1"/>
      <c r="Q704" s="1"/>
    </row>
    <row r="705" spans="10:17" ht="14" x14ac:dyDescent="0.2">
      <c r="J705" s="2"/>
      <c r="O705" s="1"/>
      <c r="P705" s="1"/>
      <c r="Q705" s="1"/>
    </row>
    <row r="706" spans="10:17" ht="14" x14ac:dyDescent="0.2">
      <c r="J706" s="2"/>
      <c r="O706" s="1"/>
      <c r="P706" s="1"/>
      <c r="Q706" s="1"/>
    </row>
    <row r="707" spans="10:17" ht="14" x14ac:dyDescent="0.2">
      <c r="J707" s="2"/>
      <c r="O707" s="1"/>
      <c r="P707" s="1"/>
      <c r="Q707" s="1"/>
    </row>
    <row r="708" spans="10:17" ht="14" x14ac:dyDescent="0.2">
      <c r="J708" s="2"/>
      <c r="O708" s="1"/>
      <c r="P708" s="1"/>
      <c r="Q708" s="1"/>
    </row>
    <row r="709" spans="10:17" ht="14" x14ac:dyDescent="0.2">
      <c r="J709" s="2"/>
      <c r="O709" s="1"/>
      <c r="P709" s="1"/>
      <c r="Q709" s="1"/>
    </row>
    <row r="710" spans="10:17" ht="14" x14ac:dyDescent="0.2">
      <c r="J710" s="2"/>
      <c r="O710" s="1"/>
      <c r="P710" s="1"/>
      <c r="Q710" s="1"/>
    </row>
    <row r="711" spans="10:17" ht="14" x14ac:dyDescent="0.2">
      <c r="J711" s="2"/>
      <c r="O711" s="1"/>
      <c r="P711" s="1"/>
      <c r="Q711" s="1"/>
    </row>
    <row r="712" spans="10:17" ht="14" x14ac:dyDescent="0.2">
      <c r="J712" s="2"/>
      <c r="O712" s="1"/>
      <c r="P712" s="1"/>
      <c r="Q712" s="1"/>
    </row>
    <row r="713" spans="10:17" ht="14" x14ac:dyDescent="0.2">
      <c r="J713" s="2"/>
      <c r="O713" s="1"/>
      <c r="P713" s="1"/>
      <c r="Q713" s="1"/>
    </row>
    <row r="714" spans="10:17" ht="14" x14ac:dyDescent="0.2">
      <c r="J714" s="2"/>
      <c r="O714" s="1"/>
      <c r="P714" s="1"/>
      <c r="Q714" s="1"/>
    </row>
    <row r="715" spans="10:17" ht="14" x14ac:dyDescent="0.2">
      <c r="J715" s="2"/>
      <c r="O715" s="1"/>
      <c r="P715" s="1"/>
      <c r="Q715" s="1"/>
    </row>
    <row r="716" spans="10:17" ht="14" x14ac:dyDescent="0.2">
      <c r="J716" s="2"/>
      <c r="O716" s="1"/>
      <c r="P716" s="1"/>
      <c r="Q716" s="1"/>
    </row>
    <row r="717" spans="10:17" ht="14" x14ac:dyDescent="0.2">
      <c r="J717" s="2"/>
      <c r="O717" s="1"/>
      <c r="P717" s="1"/>
      <c r="Q717" s="1"/>
    </row>
    <row r="718" spans="10:17" ht="14" x14ac:dyDescent="0.2">
      <c r="J718" s="2"/>
      <c r="O718" s="1"/>
      <c r="P718" s="1"/>
      <c r="Q718" s="1"/>
    </row>
    <row r="719" spans="10:17" ht="14" x14ac:dyDescent="0.2">
      <c r="J719" s="2"/>
      <c r="O719" s="1"/>
      <c r="P719" s="1"/>
      <c r="Q719" s="1"/>
    </row>
    <row r="720" spans="10:17" ht="14" x14ac:dyDescent="0.2">
      <c r="J720" s="2"/>
      <c r="O720" s="1"/>
      <c r="P720" s="1"/>
      <c r="Q720" s="1"/>
    </row>
    <row r="721" spans="10:17" ht="14" x14ac:dyDescent="0.2">
      <c r="J721" s="2"/>
      <c r="O721" s="1"/>
      <c r="P721" s="1"/>
      <c r="Q721" s="1"/>
    </row>
    <row r="722" spans="10:17" ht="14" x14ac:dyDescent="0.2">
      <c r="J722" s="2"/>
      <c r="O722" s="1"/>
      <c r="P722" s="1"/>
      <c r="Q722" s="1"/>
    </row>
    <row r="723" spans="10:17" ht="14" x14ac:dyDescent="0.2">
      <c r="J723" s="2"/>
      <c r="O723" s="1"/>
      <c r="P723" s="1"/>
      <c r="Q723" s="1"/>
    </row>
    <row r="724" spans="10:17" ht="14" x14ac:dyDescent="0.2">
      <c r="J724" s="2"/>
      <c r="O724" s="1"/>
      <c r="P724" s="1"/>
      <c r="Q724" s="1"/>
    </row>
    <row r="725" spans="10:17" ht="14" x14ac:dyDescent="0.2">
      <c r="J725" s="2"/>
      <c r="O725" s="1"/>
      <c r="P725" s="1"/>
      <c r="Q725" s="1"/>
    </row>
    <row r="726" spans="10:17" ht="14" x14ac:dyDescent="0.2">
      <c r="J726" s="2"/>
      <c r="O726" s="1"/>
      <c r="P726" s="1"/>
      <c r="Q726" s="1"/>
    </row>
    <row r="727" spans="10:17" ht="14" x14ac:dyDescent="0.2">
      <c r="J727" s="2"/>
      <c r="O727" s="1"/>
      <c r="P727" s="1"/>
      <c r="Q727" s="1"/>
    </row>
    <row r="728" spans="10:17" ht="14" x14ac:dyDescent="0.2">
      <c r="J728" s="2"/>
      <c r="O728" s="1"/>
      <c r="P728" s="1"/>
      <c r="Q728" s="1"/>
    </row>
    <row r="729" spans="10:17" ht="14" x14ac:dyDescent="0.2">
      <c r="J729" s="2"/>
      <c r="O729" s="1"/>
      <c r="P729" s="1"/>
      <c r="Q729" s="1"/>
    </row>
    <row r="730" spans="10:17" ht="14" x14ac:dyDescent="0.2">
      <c r="J730" s="2"/>
      <c r="O730" s="1"/>
      <c r="P730" s="1"/>
      <c r="Q730" s="1"/>
    </row>
    <row r="731" spans="10:17" ht="14" x14ac:dyDescent="0.2">
      <c r="J731" s="2"/>
      <c r="O731" s="1"/>
      <c r="P731" s="1"/>
      <c r="Q731" s="1"/>
    </row>
    <row r="732" spans="10:17" ht="14" x14ac:dyDescent="0.2">
      <c r="J732" s="2"/>
      <c r="O732" s="1"/>
      <c r="P732" s="1"/>
      <c r="Q732" s="1"/>
    </row>
    <row r="733" spans="10:17" ht="14" x14ac:dyDescent="0.2">
      <c r="J733" s="2"/>
      <c r="O733" s="1"/>
      <c r="P733" s="1"/>
      <c r="Q733" s="1"/>
    </row>
    <row r="734" spans="10:17" ht="14" x14ac:dyDescent="0.2">
      <c r="J734" s="2"/>
      <c r="O734" s="1"/>
      <c r="P734" s="1"/>
      <c r="Q734" s="1"/>
    </row>
    <row r="735" spans="10:17" ht="14" x14ac:dyDescent="0.2">
      <c r="J735" s="2"/>
      <c r="O735" s="1"/>
      <c r="P735" s="1"/>
      <c r="Q735" s="1"/>
    </row>
    <row r="736" spans="10:17" ht="14" x14ac:dyDescent="0.2">
      <c r="J736" s="2"/>
      <c r="O736" s="1"/>
      <c r="P736" s="1"/>
      <c r="Q736" s="1"/>
    </row>
    <row r="737" spans="10:17" ht="14" x14ac:dyDescent="0.2">
      <c r="J737" s="2"/>
      <c r="O737" s="1"/>
      <c r="P737" s="1"/>
      <c r="Q737" s="1"/>
    </row>
    <row r="738" spans="10:17" ht="14" x14ac:dyDescent="0.2">
      <c r="J738" s="2"/>
      <c r="O738" s="1"/>
      <c r="P738" s="1"/>
      <c r="Q738" s="1"/>
    </row>
    <row r="739" spans="10:17" ht="14" x14ac:dyDescent="0.2">
      <c r="J739" s="2"/>
      <c r="O739" s="1"/>
      <c r="P739" s="1"/>
      <c r="Q739" s="1"/>
    </row>
    <row r="740" spans="10:17" ht="14" x14ac:dyDescent="0.2">
      <c r="J740" s="2"/>
      <c r="O740" s="1"/>
      <c r="P740" s="1"/>
      <c r="Q740" s="1"/>
    </row>
    <row r="741" spans="10:17" ht="14" x14ac:dyDescent="0.2">
      <c r="J741" s="2"/>
      <c r="O741" s="1"/>
      <c r="P741" s="1"/>
      <c r="Q741" s="1"/>
    </row>
    <row r="742" spans="10:17" ht="14" x14ac:dyDescent="0.2">
      <c r="J742" s="2"/>
      <c r="O742" s="1"/>
      <c r="P742" s="1"/>
      <c r="Q742" s="1"/>
    </row>
    <row r="743" spans="10:17" ht="14" x14ac:dyDescent="0.2">
      <c r="J743" s="2"/>
      <c r="O743" s="1"/>
      <c r="P743" s="1"/>
      <c r="Q743" s="1"/>
    </row>
    <row r="744" spans="10:17" ht="14" x14ac:dyDescent="0.2">
      <c r="J744" s="2"/>
      <c r="O744" s="1"/>
      <c r="P744" s="1"/>
      <c r="Q744" s="1"/>
    </row>
    <row r="745" spans="10:17" ht="14" x14ac:dyDescent="0.2">
      <c r="J745" s="2"/>
      <c r="O745" s="1"/>
      <c r="P745" s="1"/>
      <c r="Q745" s="1"/>
    </row>
    <row r="746" spans="10:17" ht="14" x14ac:dyDescent="0.2">
      <c r="J746" s="2"/>
      <c r="O746" s="1"/>
      <c r="P746" s="1"/>
      <c r="Q746" s="1"/>
    </row>
    <row r="747" spans="10:17" ht="14" x14ac:dyDescent="0.2">
      <c r="J747" s="2"/>
      <c r="O747" s="1"/>
      <c r="P747" s="1"/>
      <c r="Q747" s="1"/>
    </row>
    <row r="748" spans="10:17" ht="14" x14ac:dyDescent="0.2">
      <c r="J748" s="2"/>
      <c r="O748" s="1"/>
      <c r="P748" s="1"/>
      <c r="Q748" s="1"/>
    </row>
    <row r="749" spans="10:17" ht="14" x14ac:dyDescent="0.2">
      <c r="J749" s="2"/>
      <c r="O749" s="1"/>
      <c r="P749" s="1"/>
      <c r="Q749" s="1"/>
    </row>
    <row r="750" spans="10:17" ht="14" x14ac:dyDescent="0.2">
      <c r="J750" s="2"/>
      <c r="O750" s="1"/>
      <c r="P750" s="1"/>
      <c r="Q750" s="1"/>
    </row>
    <row r="751" spans="10:17" ht="14" x14ac:dyDescent="0.2">
      <c r="J751" s="2"/>
      <c r="O751" s="1"/>
      <c r="P751" s="1"/>
      <c r="Q751" s="1"/>
    </row>
    <row r="752" spans="10:17" ht="14" x14ac:dyDescent="0.2">
      <c r="J752" s="2"/>
      <c r="O752" s="1"/>
      <c r="P752" s="1"/>
      <c r="Q752" s="1"/>
    </row>
    <row r="753" spans="10:17" ht="14" x14ac:dyDescent="0.2">
      <c r="J753" s="2"/>
      <c r="O753" s="1"/>
      <c r="P753" s="1"/>
      <c r="Q753" s="1"/>
    </row>
    <row r="754" spans="10:17" ht="14" x14ac:dyDescent="0.2">
      <c r="J754" s="2"/>
      <c r="O754" s="1"/>
      <c r="P754" s="1"/>
      <c r="Q754" s="1"/>
    </row>
    <row r="755" spans="10:17" ht="14" x14ac:dyDescent="0.2">
      <c r="J755" s="2"/>
      <c r="O755" s="1"/>
      <c r="P755" s="1"/>
      <c r="Q755" s="1"/>
    </row>
    <row r="756" spans="10:17" ht="14" x14ac:dyDescent="0.2">
      <c r="J756" s="2"/>
      <c r="O756" s="1"/>
      <c r="P756" s="1"/>
      <c r="Q756" s="1"/>
    </row>
    <row r="757" spans="10:17" ht="14" x14ac:dyDescent="0.2">
      <c r="J757" s="2"/>
      <c r="O757" s="1"/>
      <c r="P757" s="1"/>
      <c r="Q757" s="1"/>
    </row>
    <row r="758" spans="10:17" ht="14" x14ac:dyDescent="0.2">
      <c r="J758" s="2"/>
      <c r="O758" s="1"/>
      <c r="P758" s="1"/>
      <c r="Q758" s="1"/>
    </row>
    <row r="759" spans="10:17" ht="14" x14ac:dyDescent="0.2">
      <c r="J759" s="2"/>
      <c r="O759" s="1"/>
      <c r="P759" s="1"/>
      <c r="Q759" s="1"/>
    </row>
    <row r="760" spans="10:17" ht="14" x14ac:dyDescent="0.2">
      <c r="J760" s="2"/>
      <c r="O760" s="1"/>
      <c r="P760" s="1"/>
      <c r="Q760" s="1"/>
    </row>
    <row r="761" spans="10:17" ht="14" x14ac:dyDescent="0.2">
      <c r="J761" s="2"/>
      <c r="O761" s="1"/>
      <c r="P761" s="1"/>
      <c r="Q761" s="1"/>
    </row>
    <row r="762" spans="10:17" ht="14" x14ac:dyDescent="0.2">
      <c r="J762" s="2"/>
      <c r="O762" s="1"/>
      <c r="P762" s="1"/>
      <c r="Q762" s="1"/>
    </row>
    <row r="763" spans="10:17" ht="14" x14ac:dyDescent="0.2">
      <c r="J763" s="2"/>
      <c r="O763" s="1"/>
      <c r="P763" s="1"/>
      <c r="Q763" s="1"/>
    </row>
    <row r="764" spans="10:17" ht="14" x14ac:dyDescent="0.2">
      <c r="J764" s="2"/>
      <c r="O764" s="1"/>
      <c r="P764" s="1"/>
      <c r="Q764" s="1"/>
    </row>
    <row r="765" spans="10:17" ht="14" x14ac:dyDescent="0.2">
      <c r="J765" s="2"/>
      <c r="O765" s="1"/>
      <c r="P765" s="1"/>
      <c r="Q765" s="1"/>
    </row>
    <row r="766" spans="10:17" ht="14" x14ac:dyDescent="0.2">
      <c r="J766" s="2"/>
      <c r="O766" s="1"/>
      <c r="P766" s="1"/>
      <c r="Q766" s="1"/>
    </row>
    <row r="767" spans="10:17" ht="14" x14ac:dyDescent="0.2">
      <c r="J767" s="2"/>
      <c r="O767" s="1"/>
      <c r="P767" s="1"/>
      <c r="Q767" s="1"/>
    </row>
    <row r="768" spans="10:17" ht="14" x14ac:dyDescent="0.2">
      <c r="J768" s="2"/>
      <c r="O768" s="1"/>
      <c r="P768" s="1"/>
      <c r="Q768" s="1"/>
    </row>
    <row r="769" spans="10:17" ht="14" x14ac:dyDescent="0.2">
      <c r="J769" s="2"/>
      <c r="O769" s="1"/>
      <c r="P769" s="1"/>
      <c r="Q769" s="1"/>
    </row>
    <row r="770" spans="10:17" ht="14" x14ac:dyDescent="0.2">
      <c r="J770" s="2"/>
      <c r="O770" s="1"/>
      <c r="P770" s="1"/>
      <c r="Q770" s="1"/>
    </row>
    <row r="771" spans="10:17" ht="14" x14ac:dyDescent="0.2">
      <c r="J771" s="2"/>
      <c r="O771" s="1"/>
      <c r="P771" s="1"/>
      <c r="Q771" s="1"/>
    </row>
    <row r="772" spans="10:17" ht="14" x14ac:dyDescent="0.2">
      <c r="J772" s="2"/>
      <c r="O772" s="1"/>
      <c r="P772" s="1"/>
      <c r="Q772" s="1"/>
    </row>
    <row r="773" spans="10:17" ht="14" x14ac:dyDescent="0.2">
      <c r="J773" s="2"/>
      <c r="O773" s="1"/>
      <c r="P773" s="1"/>
      <c r="Q773" s="1"/>
    </row>
    <row r="774" spans="10:17" ht="14" x14ac:dyDescent="0.2">
      <c r="J774" s="2"/>
      <c r="O774" s="1"/>
      <c r="P774" s="1"/>
      <c r="Q774" s="1"/>
    </row>
    <row r="775" spans="10:17" ht="14" x14ac:dyDescent="0.2">
      <c r="J775" s="2"/>
      <c r="O775" s="1"/>
      <c r="P775" s="1"/>
      <c r="Q775" s="1"/>
    </row>
    <row r="776" spans="10:17" ht="14" x14ac:dyDescent="0.2">
      <c r="J776" s="2"/>
      <c r="O776" s="1"/>
      <c r="P776" s="1"/>
      <c r="Q776" s="1"/>
    </row>
    <row r="777" spans="10:17" ht="14" x14ac:dyDescent="0.2">
      <c r="J777" s="2"/>
      <c r="O777" s="1"/>
      <c r="P777" s="1"/>
      <c r="Q777" s="1"/>
    </row>
    <row r="778" spans="10:17" ht="14" x14ac:dyDescent="0.2">
      <c r="J778" s="2"/>
      <c r="O778" s="1"/>
      <c r="P778" s="1"/>
      <c r="Q778" s="1"/>
    </row>
    <row r="779" spans="10:17" ht="14" x14ac:dyDescent="0.2">
      <c r="J779" s="2"/>
      <c r="O779" s="1"/>
      <c r="P779" s="1"/>
      <c r="Q779" s="1"/>
    </row>
    <row r="780" spans="10:17" ht="14" x14ac:dyDescent="0.2">
      <c r="J780" s="2"/>
      <c r="O780" s="1"/>
      <c r="P780" s="1"/>
      <c r="Q780" s="1"/>
    </row>
    <row r="781" spans="10:17" ht="14" x14ac:dyDescent="0.2">
      <c r="J781" s="2"/>
      <c r="O781" s="1"/>
      <c r="P781" s="1"/>
      <c r="Q781" s="1"/>
    </row>
    <row r="782" spans="10:17" ht="14" x14ac:dyDescent="0.2">
      <c r="J782" s="2"/>
      <c r="O782" s="1"/>
      <c r="P782" s="1"/>
      <c r="Q782" s="1"/>
    </row>
    <row r="783" spans="10:17" ht="14" x14ac:dyDescent="0.2">
      <c r="J783" s="2"/>
      <c r="O783" s="1"/>
      <c r="P783" s="1"/>
      <c r="Q783" s="1"/>
    </row>
    <row r="784" spans="10:17" ht="14" x14ac:dyDescent="0.2">
      <c r="J784" s="2"/>
      <c r="O784" s="1"/>
      <c r="P784" s="1"/>
      <c r="Q784" s="1"/>
    </row>
    <row r="785" spans="10:17" ht="14" x14ac:dyDescent="0.2">
      <c r="J785" s="2"/>
      <c r="O785" s="1"/>
      <c r="P785" s="1"/>
      <c r="Q785" s="1"/>
    </row>
    <row r="786" spans="10:17" ht="14" x14ac:dyDescent="0.2">
      <c r="J786" s="2"/>
      <c r="O786" s="1"/>
      <c r="P786" s="1"/>
      <c r="Q786" s="1"/>
    </row>
    <row r="787" spans="10:17" ht="14" x14ac:dyDescent="0.2">
      <c r="J787" s="2"/>
      <c r="O787" s="1"/>
      <c r="P787" s="1"/>
      <c r="Q787" s="1"/>
    </row>
    <row r="788" spans="10:17" ht="14" x14ac:dyDescent="0.2">
      <c r="J788" s="2"/>
      <c r="O788" s="1"/>
      <c r="P788" s="1"/>
      <c r="Q788" s="1"/>
    </row>
    <row r="789" spans="10:17" ht="14" x14ac:dyDescent="0.2">
      <c r="J789" s="2"/>
      <c r="O789" s="1"/>
      <c r="P789" s="1"/>
      <c r="Q789" s="1"/>
    </row>
    <row r="790" spans="10:17" ht="14" x14ac:dyDescent="0.2">
      <c r="J790" s="2"/>
      <c r="O790" s="1"/>
      <c r="P790" s="1"/>
      <c r="Q790" s="1"/>
    </row>
    <row r="791" spans="10:17" ht="14" x14ac:dyDescent="0.2">
      <c r="J791" s="2"/>
      <c r="O791" s="1"/>
      <c r="P791" s="1"/>
      <c r="Q791" s="1"/>
    </row>
    <row r="792" spans="10:17" ht="14" x14ac:dyDescent="0.2">
      <c r="J792" s="2"/>
      <c r="O792" s="1"/>
      <c r="P792" s="1"/>
      <c r="Q792" s="1"/>
    </row>
    <row r="793" spans="10:17" ht="14" x14ac:dyDescent="0.2">
      <c r="J793" s="2"/>
      <c r="O793" s="1"/>
      <c r="P793" s="1"/>
      <c r="Q793" s="1"/>
    </row>
    <row r="794" spans="10:17" ht="14" x14ac:dyDescent="0.2">
      <c r="J794" s="2"/>
      <c r="O794" s="1"/>
      <c r="P794" s="1"/>
      <c r="Q794" s="1"/>
    </row>
    <row r="795" spans="10:17" ht="14" x14ac:dyDescent="0.2">
      <c r="J795" s="2"/>
      <c r="O795" s="1"/>
      <c r="P795" s="1"/>
      <c r="Q795" s="1"/>
    </row>
    <row r="796" spans="10:17" ht="14" x14ac:dyDescent="0.2">
      <c r="J796" s="2"/>
      <c r="O796" s="1"/>
      <c r="P796" s="1"/>
      <c r="Q796" s="1"/>
    </row>
    <row r="797" spans="10:17" ht="14" x14ac:dyDescent="0.2">
      <c r="J797" s="2"/>
      <c r="O797" s="1"/>
      <c r="P797" s="1"/>
      <c r="Q797" s="1"/>
    </row>
    <row r="798" spans="10:17" ht="14" x14ac:dyDescent="0.2">
      <c r="J798" s="2"/>
      <c r="O798" s="1"/>
      <c r="P798" s="1"/>
      <c r="Q798" s="1"/>
    </row>
    <row r="799" spans="10:17" ht="14" x14ac:dyDescent="0.2">
      <c r="J799" s="2"/>
      <c r="O799" s="1"/>
      <c r="P799" s="1"/>
      <c r="Q799" s="1"/>
    </row>
    <row r="800" spans="10:17" ht="14" x14ac:dyDescent="0.2">
      <c r="J800" s="2"/>
      <c r="O800" s="1"/>
      <c r="P800" s="1"/>
      <c r="Q800" s="1"/>
    </row>
    <row r="801" spans="10:17" ht="14" x14ac:dyDescent="0.2">
      <c r="J801" s="2"/>
      <c r="O801" s="1"/>
      <c r="P801" s="1"/>
      <c r="Q801" s="1"/>
    </row>
    <row r="802" spans="10:17" ht="14" x14ac:dyDescent="0.2">
      <c r="J802" s="2"/>
      <c r="O802" s="1"/>
      <c r="P802" s="1"/>
      <c r="Q802" s="1"/>
    </row>
    <row r="803" spans="10:17" ht="14" x14ac:dyDescent="0.2">
      <c r="J803" s="2"/>
      <c r="O803" s="1"/>
      <c r="P803" s="1"/>
      <c r="Q803" s="1"/>
    </row>
    <row r="804" spans="10:17" ht="14" x14ac:dyDescent="0.2">
      <c r="J804" s="2"/>
      <c r="O804" s="1"/>
      <c r="P804" s="1"/>
      <c r="Q804" s="1"/>
    </row>
    <row r="805" spans="10:17" ht="14" x14ac:dyDescent="0.2">
      <c r="J805" s="2"/>
      <c r="O805" s="1"/>
      <c r="P805" s="1"/>
      <c r="Q805" s="1"/>
    </row>
    <row r="806" spans="10:17" ht="14" x14ac:dyDescent="0.2">
      <c r="J806" s="2"/>
      <c r="O806" s="1"/>
      <c r="P806" s="1"/>
      <c r="Q806" s="1"/>
    </row>
    <row r="807" spans="10:17" ht="14" x14ac:dyDescent="0.2">
      <c r="J807" s="2"/>
      <c r="O807" s="1"/>
      <c r="P807" s="1"/>
      <c r="Q807" s="1"/>
    </row>
    <row r="808" spans="10:17" ht="14" x14ac:dyDescent="0.2">
      <c r="J808" s="2"/>
      <c r="O808" s="1"/>
      <c r="P808" s="1"/>
      <c r="Q808" s="1"/>
    </row>
    <row r="809" spans="10:17" ht="14" x14ac:dyDescent="0.2">
      <c r="J809" s="2"/>
      <c r="O809" s="1"/>
      <c r="P809" s="1"/>
      <c r="Q809" s="1"/>
    </row>
    <row r="810" spans="10:17" ht="14" x14ac:dyDescent="0.2">
      <c r="J810" s="2"/>
      <c r="O810" s="1"/>
      <c r="P810" s="1"/>
      <c r="Q810" s="1"/>
    </row>
    <row r="811" spans="10:17" ht="14" x14ac:dyDescent="0.2">
      <c r="J811" s="2"/>
      <c r="O811" s="1"/>
      <c r="P811" s="1"/>
      <c r="Q811" s="1"/>
    </row>
    <row r="812" spans="10:17" ht="14" x14ac:dyDescent="0.2">
      <c r="J812" s="2"/>
      <c r="O812" s="1"/>
      <c r="P812" s="1"/>
      <c r="Q812" s="1"/>
    </row>
    <row r="813" spans="10:17" ht="14" x14ac:dyDescent="0.2">
      <c r="J813" s="2"/>
      <c r="O813" s="1"/>
      <c r="P813" s="1"/>
      <c r="Q813" s="1"/>
    </row>
    <row r="814" spans="10:17" ht="14" x14ac:dyDescent="0.2">
      <c r="J814" s="2"/>
      <c r="O814" s="1"/>
      <c r="P814" s="1"/>
      <c r="Q814" s="1"/>
    </row>
    <row r="815" spans="10:17" ht="14" x14ac:dyDescent="0.2">
      <c r="J815" s="2"/>
      <c r="O815" s="1"/>
      <c r="P815" s="1"/>
      <c r="Q815" s="1"/>
    </row>
    <row r="816" spans="10:17" ht="14" x14ac:dyDescent="0.2">
      <c r="J816" s="2"/>
      <c r="O816" s="1"/>
      <c r="P816" s="1"/>
      <c r="Q816" s="1"/>
    </row>
    <row r="817" spans="10:17" ht="14" x14ac:dyDescent="0.2">
      <c r="J817" s="2"/>
      <c r="O817" s="1"/>
      <c r="P817" s="1"/>
      <c r="Q817" s="1"/>
    </row>
    <row r="818" spans="10:17" ht="14" x14ac:dyDescent="0.2">
      <c r="J818" s="2"/>
      <c r="O818" s="1"/>
      <c r="P818" s="1"/>
      <c r="Q818" s="1"/>
    </row>
    <row r="819" spans="10:17" ht="14" x14ac:dyDescent="0.2">
      <c r="J819" s="2"/>
      <c r="O819" s="1"/>
      <c r="P819" s="1"/>
      <c r="Q819" s="1"/>
    </row>
    <row r="820" spans="10:17" ht="14" x14ac:dyDescent="0.2">
      <c r="J820" s="2"/>
      <c r="O820" s="1"/>
      <c r="P820" s="1"/>
      <c r="Q820" s="1"/>
    </row>
    <row r="821" spans="10:17" ht="14" x14ac:dyDescent="0.2">
      <c r="J821" s="2"/>
      <c r="O821" s="1"/>
      <c r="P821" s="1"/>
      <c r="Q821" s="1"/>
    </row>
    <row r="822" spans="10:17" ht="14" x14ac:dyDescent="0.2">
      <c r="J822" s="2"/>
      <c r="O822" s="1"/>
      <c r="P822" s="1"/>
      <c r="Q822" s="1"/>
    </row>
    <row r="823" spans="10:17" ht="14" x14ac:dyDescent="0.2">
      <c r="J823" s="2"/>
      <c r="O823" s="1"/>
      <c r="P823" s="1"/>
      <c r="Q823" s="1"/>
    </row>
    <row r="824" spans="10:17" ht="14" x14ac:dyDescent="0.2">
      <c r="J824" s="2"/>
      <c r="O824" s="1"/>
      <c r="P824" s="1"/>
      <c r="Q824" s="1"/>
    </row>
    <row r="825" spans="10:17" ht="14" x14ac:dyDescent="0.2">
      <c r="J825" s="2"/>
      <c r="O825" s="1"/>
      <c r="P825" s="1"/>
      <c r="Q825" s="1"/>
    </row>
    <row r="826" spans="10:17" ht="14" x14ac:dyDescent="0.2">
      <c r="J826" s="2"/>
      <c r="O826" s="1"/>
      <c r="P826" s="1"/>
      <c r="Q826" s="1"/>
    </row>
    <row r="827" spans="10:17" ht="14" x14ac:dyDescent="0.2">
      <c r="J827" s="2"/>
      <c r="O827" s="1"/>
      <c r="P827" s="1"/>
      <c r="Q827" s="1"/>
    </row>
    <row r="828" spans="10:17" ht="14" x14ac:dyDescent="0.2">
      <c r="J828" s="2"/>
      <c r="O828" s="1"/>
      <c r="P828" s="1"/>
      <c r="Q828" s="1"/>
    </row>
    <row r="829" spans="10:17" ht="14" x14ac:dyDescent="0.2">
      <c r="J829" s="2"/>
      <c r="O829" s="1"/>
      <c r="P829" s="1"/>
      <c r="Q829" s="1"/>
    </row>
    <row r="830" spans="10:17" ht="14" x14ac:dyDescent="0.2">
      <c r="J830" s="2"/>
      <c r="O830" s="1"/>
      <c r="P830" s="1"/>
      <c r="Q830" s="1"/>
    </row>
    <row r="831" spans="10:17" ht="14" x14ac:dyDescent="0.2">
      <c r="J831" s="2"/>
      <c r="O831" s="1"/>
      <c r="P831" s="1"/>
      <c r="Q831" s="1"/>
    </row>
    <row r="832" spans="10:17" ht="14" x14ac:dyDescent="0.2">
      <c r="J832" s="2"/>
      <c r="O832" s="1"/>
      <c r="P832" s="1"/>
      <c r="Q832" s="1"/>
    </row>
    <row r="833" spans="10:17" ht="14" x14ac:dyDescent="0.2">
      <c r="J833" s="2"/>
      <c r="O833" s="1"/>
      <c r="P833" s="1"/>
      <c r="Q833" s="1"/>
    </row>
    <row r="834" spans="10:17" ht="14" x14ac:dyDescent="0.2">
      <c r="J834" s="2"/>
      <c r="O834" s="1"/>
      <c r="P834" s="1"/>
      <c r="Q834" s="1"/>
    </row>
    <row r="835" spans="10:17" ht="14" x14ac:dyDescent="0.2">
      <c r="J835" s="2"/>
      <c r="O835" s="1"/>
      <c r="P835" s="1"/>
      <c r="Q835" s="1"/>
    </row>
    <row r="836" spans="10:17" ht="14" x14ac:dyDescent="0.2">
      <c r="J836" s="2"/>
      <c r="O836" s="1"/>
      <c r="P836" s="1"/>
      <c r="Q836" s="1"/>
    </row>
    <row r="837" spans="10:17" ht="14" x14ac:dyDescent="0.2">
      <c r="J837" s="2"/>
      <c r="O837" s="1"/>
      <c r="P837" s="1"/>
      <c r="Q837" s="1"/>
    </row>
    <row r="838" spans="10:17" ht="14" x14ac:dyDescent="0.2">
      <c r="J838" s="2"/>
      <c r="O838" s="1"/>
      <c r="P838" s="1"/>
      <c r="Q838" s="1"/>
    </row>
    <row r="839" spans="10:17" ht="14" x14ac:dyDescent="0.2">
      <c r="J839" s="2"/>
      <c r="O839" s="1"/>
      <c r="P839" s="1"/>
      <c r="Q839" s="1"/>
    </row>
    <row r="840" spans="10:17" ht="14" x14ac:dyDescent="0.2">
      <c r="J840" s="2"/>
      <c r="O840" s="1"/>
      <c r="P840" s="1"/>
      <c r="Q840" s="1"/>
    </row>
    <row r="841" spans="10:17" ht="14" x14ac:dyDescent="0.2">
      <c r="J841" s="2"/>
      <c r="O841" s="1"/>
      <c r="P841" s="1"/>
      <c r="Q841" s="1"/>
    </row>
    <row r="842" spans="10:17" ht="14" x14ac:dyDescent="0.2">
      <c r="J842" s="2"/>
      <c r="O842" s="1"/>
      <c r="P842" s="1"/>
      <c r="Q842" s="1"/>
    </row>
    <row r="843" spans="10:17" ht="14" x14ac:dyDescent="0.2">
      <c r="J843" s="2"/>
      <c r="O843" s="1"/>
      <c r="P843" s="1"/>
      <c r="Q843" s="1"/>
    </row>
    <row r="844" spans="10:17" ht="14" x14ac:dyDescent="0.2">
      <c r="J844" s="2"/>
      <c r="O844" s="1"/>
      <c r="P844" s="1"/>
      <c r="Q844" s="1"/>
    </row>
    <row r="845" spans="10:17" ht="14" x14ac:dyDescent="0.2">
      <c r="J845" s="2"/>
      <c r="O845" s="1"/>
      <c r="P845" s="1"/>
      <c r="Q845" s="1"/>
    </row>
    <row r="846" spans="10:17" ht="14" x14ac:dyDescent="0.2">
      <c r="J846" s="2"/>
      <c r="O846" s="1"/>
      <c r="P846" s="1"/>
      <c r="Q846" s="1"/>
    </row>
    <row r="847" spans="10:17" ht="14" x14ac:dyDescent="0.2">
      <c r="J847" s="2"/>
      <c r="O847" s="1"/>
      <c r="P847" s="1"/>
      <c r="Q847" s="1"/>
    </row>
    <row r="848" spans="10:17" ht="14" x14ac:dyDescent="0.2">
      <c r="J848" s="2"/>
      <c r="O848" s="1"/>
      <c r="P848" s="1"/>
      <c r="Q848" s="1"/>
    </row>
    <row r="849" spans="10:17" ht="14" x14ac:dyDescent="0.2">
      <c r="J849" s="2"/>
      <c r="O849" s="1"/>
      <c r="P849" s="1"/>
      <c r="Q849" s="1"/>
    </row>
    <row r="850" spans="10:17" ht="14" x14ac:dyDescent="0.2">
      <c r="J850" s="2"/>
      <c r="O850" s="1"/>
      <c r="P850" s="1"/>
      <c r="Q850" s="1"/>
    </row>
    <row r="851" spans="10:17" ht="14" x14ac:dyDescent="0.2">
      <c r="J851" s="2"/>
      <c r="O851" s="1"/>
      <c r="P851" s="1"/>
      <c r="Q851" s="1"/>
    </row>
    <row r="852" spans="10:17" ht="14" x14ac:dyDescent="0.2">
      <c r="J852" s="2"/>
      <c r="O852" s="1"/>
      <c r="P852" s="1"/>
      <c r="Q852" s="1"/>
    </row>
    <row r="853" spans="10:17" ht="14" x14ac:dyDescent="0.2">
      <c r="J853" s="2"/>
      <c r="O853" s="1"/>
      <c r="P853" s="1"/>
      <c r="Q853" s="1"/>
    </row>
    <row r="854" spans="10:17" ht="14" x14ac:dyDescent="0.2">
      <c r="J854" s="2"/>
      <c r="O854" s="1"/>
      <c r="P854" s="1"/>
      <c r="Q854" s="1"/>
    </row>
    <row r="855" spans="10:17" ht="14" x14ac:dyDescent="0.2">
      <c r="J855" s="2"/>
      <c r="O855" s="1"/>
      <c r="P855" s="1"/>
      <c r="Q855" s="1"/>
    </row>
    <row r="856" spans="10:17" ht="14" x14ac:dyDescent="0.2">
      <c r="J856" s="2"/>
      <c r="O856" s="1"/>
      <c r="P856" s="1"/>
      <c r="Q856" s="1"/>
    </row>
    <row r="857" spans="10:17" ht="14" x14ac:dyDescent="0.2">
      <c r="J857" s="2"/>
      <c r="O857" s="1"/>
      <c r="P857" s="1"/>
      <c r="Q857" s="1"/>
    </row>
    <row r="858" spans="10:17" ht="14" x14ac:dyDescent="0.2">
      <c r="J858" s="2"/>
      <c r="O858" s="1"/>
      <c r="P858" s="1"/>
      <c r="Q858" s="1"/>
    </row>
    <row r="859" spans="10:17" ht="14" x14ac:dyDescent="0.2">
      <c r="J859" s="2"/>
      <c r="O859" s="1"/>
      <c r="P859" s="1"/>
      <c r="Q859" s="1"/>
    </row>
    <row r="860" spans="10:17" ht="14" x14ac:dyDescent="0.2">
      <c r="J860" s="2"/>
      <c r="O860" s="1"/>
      <c r="P860" s="1"/>
      <c r="Q860" s="1"/>
    </row>
    <row r="861" spans="10:17" ht="14" x14ac:dyDescent="0.2">
      <c r="J861" s="2"/>
      <c r="O861" s="1"/>
      <c r="P861" s="1"/>
      <c r="Q861" s="1"/>
    </row>
    <row r="862" spans="10:17" ht="14" x14ac:dyDescent="0.2">
      <c r="J862" s="2"/>
      <c r="O862" s="1"/>
      <c r="P862" s="1"/>
      <c r="Q862" s="1"/>
    </row>
    <row r="863" spans="10:17" ht="14" x14ac:dyDescent="0.2">
      <c r="J863" s="2"/>
      <c r="O863" s="1"/>
      <c r="P863" s="1"/>
      <c r="Q863" s="1"/>
    </row>
    <row r="864" spans="10:17" ht="14" x14ac:dyDescent="0.2">
      <c r="J864" s="2"/>
      <c r="O864" s="1"/>
      <c r="P864" s="1"/>
      <c r="Q864" s="1"/>
    </row>
    <row r="865" spans="10:17" ht="14" x14ac:dyDescent="0.2">
      <c r="J865" s="2"/>
      <c r="O865" s="1"/>
      <c r="P865" s="1"/>
      <c r="Q865" s="1"/>
    </row>
    <row r="866" spans="10:17" ht="14" x14ac:dyDescent="0.2">
      <c r="J866" s="2"/>
      <c r="O866" s="1"/>
      <c r="P866" s="1"/>
      <c r="Q866" s="1"/>
    </row>
    <row r="867" spans="10:17" ht="14" x14ac:dyDescent="0.2">
      <c r="J867" s="2"/>
      <c r="O867" s="1"/>
      <c r="P867" s="1"/>
      <c r="Q867" s="1"/>
    </row>
    <row r="868" spans="10:17" ht="14" x14ac:dyDescent="0.2">
      <c r="J868" s="2"/>
      <c r="O868" s="1"/>
      <c r="P868" s="1"/>
      <c r="Q868" s="1"/>
    </row>
    <row r="869" spans="10:17" ht="14" x14ac:dyDescent="0.2">
      <c r="J869" s="2"/>
      <c r="O869" s="1"/>
      <c r="P869" s="1"/>
      <c r="Q869" s="1"/>
    </row>
    <row r="870" spans="10:17" ht="14" x14ac:dyDescent="0.2">
      <c r="J870" s="2"/>
      <c r="O870" s="1"/>
      <c r="P870" s="1"/>
      <c r="Q870" s="1"/>
    </row>
    <row r="871" spans="10:17" ht="14" x14ac:dyDescent="0.2">
      <c r="J871" s="2"/>
      <c r="O871" s="1"/>
      <c r="P871" s="1"/>
      <c r="Q871" s="1"/>
    </row>
    <row r="872" spans="10:17" ht="14" x14ac:dyDescent="0.2">
      <c r="J872" s="2"/>
      <c r="O872" s="1"/>
      <c r="P872" s="1"/>
      <c r="Q872" s="1"/>
    </row>
    <row r="873" spans="10:17" ht="14" x14ac:dyDescent="0.2">
      <c r="J873" s="2"/>
      <c r="O873" s="1"/>
      <c r="P873" s="1"/>
      <c r="Q873" s="1"/>
    </row>
    <row r="874" spans="10:17" ht="14" x14ac:dyDescent="0.2">
      <c r="J874" s="2"/>
      <c r="O874" s="1"/>
      <c r="P874" s="1"/>
      <c r="Q874" s="1"/>
    </row>
    <row r="875" spans="10:17" ht="14" x14ac:dyDescent="0.2">
      <c r="J875" s="2"/>
      <c r="O875" s="1"/>
      <c r="P875" s="1"/>
      <c r="Q875" s="1"/>
    </row>
    <row r="876" spans="10:17" ht="14" x14ac:dyDescent="0.2">
      <c r="J876" s="2"/>
      <c r="O876" s="1"/>
      <c r="P876" s="1"/>
      <c r="Q876" s="1"/>
    </row>
    <row r="877" spans="10:17" ht="14" x14ac:dyDescent="0.2">
      <c r="J877" s="2"/>
      <c r="O877" s="1"/>
      <c r="P877" s="1"/>
      <c r="Q877" s="1"/>
    </row>
    <row r="878" spans="10:17" ht="14" x14ac:dyDescent="0.2">
      <c r="J878" s="2"/>
      <c r="O878" s="1"/>
      <c r="P878" s="1"/>
      <c r="Q878" s="1"/>
    </row>
    <row r="879" spans="10:17" ht="14" x14ac:dyDescent="0.2">
      <c r="J879" s="2"/>
      <c r="O879" s="1"/>
      <c r="P879" s="1"/>
      <c r="Q879" s="1"/>
    </row>
    <row r="880" spans="10:17" ht="14" x14ac:dyDescent="0.2">
      <c r="J880" s="2"/>
      <c r="O880" s="1"/>
      <c r="P880" s="1"/>
      <c r="Q880" s="1"/>
    </row>
    <row r="881" spans="10:17" ht="14" x14ac:dyDescent="0.2">
      <c r="J881" s="2"/>
      <c r="O881" s="1"/>
      <c r="P881" s="1"/>
      <c r="Q881" s="1"/>
    </row>
    <row r="882" spans="10:17" ht="14" x14ac:dyDescent="0.2">
      <c r="J882" s="2"/>
      <c r="O882" s="1"/>
      <c r="P882" s="1"/>
      <c r="Q882" s="1"/>
    </row>
    <row r="883" spans="10:17" ht="14" x14ac:dyDescent="0.2">
      <c r="J883" s="2"/>
      <c r="O883" s="1"/>
      <c r="P883" s="1"/>
      <c r="Q883" s="1"/>
    </row>
    <row r="884" spans="10:17" ht="14" x14ac:dyDescent="0.2">
      <c r="J884" s="2"/>
      <c r="O884" s="1"/>
      <c r="P884" s="1"/>
      <c r="Q884" s="1"/>
    </row>
    <row r="885" spans="10:17" ht="14" x14ac:dyDescent="0.2">
      <c r="J885" s="2"/>
      <c r="O885" s="1"/>
      <c r="P885" s="1"/>
      <c r="Q885" s="1"/>
    </row>
    <row r="886" spans="10:17" ht="14" x14ac:dyDescent="0.2">
      <c r="J886" s="2"/>
      <c r="O886" s="1"/>
      <c r="P886" s="1"/>
      <c r="Q886" s="1"/>
    </row>
    <row r="887" spans="10:17" ht="14" x14ac:dyDescent="0.2">
      <c r="J887" s="2"/>
      <c r="O887" s="1"/>
      <c r="P887" s="1"/>
      <c r="Q887" s="1"/>
    </row>
    <row r="888" spans="10:17" ht="14" x14ac:dyDescent="0.2">
      <c r="J888" s="2"/>
      <c r="O888" s="1"/>
      <c r="P888" s="1"/>
      <c r="Q888" s="1"/>
    </row>
    <row r="889" spans="10:17" ht="14" x14ac:dyDescent="0.2">
      <c r="J889" s="2"/>
      <c r="O889" s="1"/>
      <c r="P889" s="1"/>
      <c r="Q889" s="1"/>
    </row>
    <row r="890" spans="10:17" ht="14" x14ac:dyDescent="0.2">
      <c r="J890" s="2"/>
      <c r="O890" s="1"/>
      <c r="P890" s="1"/>
      <c r="Q890" s="1"/>
    </row>
    <row r="891" spans="10:17" ht="14" x14ac:dyDescent="0.2">
      <c r="J891" s="2"/>
      <c r="O891" s="1"/>
      <c r="P891" s="1"/>
      <c r="Q891" s="1"/>
    </row>
    <row r="892" spans="10:17" ht="14" x14ac:dyDescent="0.2">
      <c r="J892" s="2"/>
      <c r="O892" s="1"/>
      <c r="P892" s="1"/>
      <c r="Q892" s="1"/>
    </row>
    <row r="893" spans="10:17" ht="14" x14ac:dyDescent="0.2">
      <c r="J893" s="2"/>
      <c r="O893" s="1"/>
      <c r="P893" s="1"/>
      <c r="Q893" s="1"/>
    </row>
    <row r="894" spans="10:17" ht="14" x14ac:dyDescent="0.2">
      <c r="J894" s="2"/>
      <c r="O894" s="1"/>
      <c r="P894" s="1"/>
      <c r="Q894" s="1"/>
    </row>
  </sheetData>
  <autoFilter ref="A1:Q373" xr:uid="{00000000-0009-0000-0000-000004000000}"/>
  <dataValidations count="1">
    <dataValidation type="list" allowBlank="1" showErrorMessage="1" sqref="J2:J373" xr:uid="{00000000-0002-0000-0400-000000000000}">
      <formula1>"Yes,No"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Herbarium Everything else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Hafkin</dc:creator>
  <cp:lastModifiedBy>Miriam Hafkin</cp:lastModifiedBy>
  <dcterms:created xsi:type="dcterms:W3CDTF">2026-06-26T13:31:21Z</dcterms:created>
  <dcterms:modified xsi:type="dcterms:W3CDTF">2026-06-26T13:31:35Z</dcterms:modified>
</cp:coreProperties>
</file>