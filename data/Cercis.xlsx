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miriamhafkin/Desktop/"/>
    </mc:Choice>
  </mc:AlternateContent>
  <xr:revisionPtr revIDLastSave="0" documentId="13_ncr:1_{EF49511E-DFFA-9342-8179-878D8074AFDE}" xr6:coauthVersionLast="47" xr6:coauthVersionMax="47" xr10:uidLastSave="{00000000-0000-0000-0000-000000000000}"/>
  <bookViews>
    <workbookView xWindow="4440" yWindow="760" windowWidth="24960" windowHeight="17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57" i="1" l="1"/>
  <c r="R157" i="1"/>
  <c r="Q157" i="1"/>
  <c r="S156" i="1"/>
  <c r="R156" i="1"/>
  <c r="Q156" i="1"/>
  <c r="S155" i="1"/>
  <c r="R155" i="1"/>
  <c r="Q155" i="1"/>
  <c r="S154" i="1"/>
  <c r="R154" i="1"/>
  <c r="Q154" i="1"/>
  <c r="S153" i="1"/>
  <c r="R153" i="1"/>
  <c r="Q153" i="1"/>
  <c r="S152" i="1"/>
  <c r="R152" i="1"/>
  <c r="Q152" i="1"/>
  <c r="S151" i="1"/>
  <c r="R151" i="1"/>
  <c r="Q151" i="1"/>
  <c r="S150" i="1"/>
  <c r="R150" i="1"/>
  <c r="Q150" i="1"/>
  <c r="S149" i="1"/>
  <c r="R149" i="1"/>
  <c r="Q149" i="1"/>
  <c r="S148" i="1"/>
  <c r="R148" i="1"/>
  <c r="Q148" i="1"/>
  <c r="S147" i="1"/>
  <c r="R147" i="1"/>
  <c r="Q147" i="1"/>
  <c r="S146" i="1"/>
  <c r="R146" i="1"/>
  <c r="Q146" i="1"/>
  <c r="S145" i="1"/>
  <c r="R145" i="1"/>
  <c r="Q145" i="1"/>
  <c r="S144" i="1"/>
  <c r="R144" i="1"/>
  <c r="Q144" i="1"/>
  <c r="S143" i="1"/>
  <c r="R143" i="1"/>
  <c r="Q143" i="1"/>
  <c r="S142" i="1"/>
  <c r="R142" i="1"/>
  <c r="Q142" i="1"/>
  <c r="S141" i="1"/>
  <c r="R141" i="1"/>
  <c r="Q141" i="1"/>
  <c r="S140" i="1"/>
  <c r="R140" i="1"/>
  <c r="Q140" i="1"/>
  <c r="S139" i="1"/>
  <c r="R139" i="1"/>
  <c r="Q139" i="1"/>
  <c r="S138" i="1"/>
  <c r="R138" i="1"/>
  <c r="Q138" i="1"/>
  <c r="S137" i="1"/>
  <c r="R137" i="1"/>
  <c r="Q137" i="1"/>
  <c r="S136" i="1"/>
  <c r="R136" i="1"/>
  <c r="Q136" i="1"/>
  <c r="S135" i="1"/>
  <c r="R135" i="1"/>
  <c r="Q135" i="1"/>
  <c r="S134" i="1"/>
  <c r="R134" i="1"/>
  <c r="Q134" i="1"/>
  <c r="S133" i="1"/>
  <c r="R133" i="1"/>
  <c r="Q133" i="1"/>
  <c r="S132" i="1"/>
  <c r="R132" i="1"/>
  <c r="Q132" i="1"/>
  <c r="S131" i="1"/>
  <c r="R131" i="1"/>
  <c r="Q131" i="1"/>
  <c r="S130" i="1"/>
  <c r="R130" i="1"/>
  <c r="Q130" i="1"/>
  <c r="S129" i="1"/>
  <c r="R129" i="1"/>
  <c r="Q129" i="1"/>
  <c r="S128" i="1"/>
  <c r="R128" i="1"/>
  <c r="Q128" i="1"/>
  <c r="S127" i="1"/>
  <c r="R127" i="1"/>
  <c r="Q127" i="1"/>
  <c r="S126" i="1"/>
  <c r="R126" i="1"/>
  <c r="Q126" i="1"/>
  <c r="S125" i="1"/>
  <c r="R125" i="1"/>
  <c r="Q125" i="1"/>
  <c r="S124" i="1"/>
  <c r="R124" i="1"/>
  <c r="Q124" i="1"/>
  <c r="S123" i="1"/>
  <c r="R123" i="1"/>
  <c r="Q123" i="1"/>
  <c r="S122" i="1"/>
  <c r="R122" i="1"/>
  <c r="Q122" i="1"/>
  <c r="S121" i="1"/>
  <c r="R121" i="1"/>
  <c r="Q121" i="1"/>
  <c r="S120" i="1"/>
  <c r="R120" i="1"/>
  <c r="Q120" i="1"/>
  <c r="S119" i="1"/>
  <c r="R119" i="1"/>
  <c r="Q119" i="1"/>
  <c r="S118" i="1"/>
  <c r="R118" i="1"/>
  <c r="Q118" i="1"/>
  <c r="S117" i="1"/>
  <c r="R117" i="1"/>
  <c r="Q117" i="1"/>
  <c r="S116" i="1"/>
  <c r="R116" i="1"/>
  <c r="Q116" i="1"/>
  <c r="S115" i="1"/>
  <c r="R115" i="1"/>
  <c r="Q115" i="1"/>
  <c r="S114" i="1"/>
  <c r="R114" i="1"/>
  <c r="Q114" i="1"/>
  <c r="S113" i="1"/>
  <c r="R113" i="1"/>
  <c r="Q113" i="1"/>
  <c r="S112" i="1"/>
  <c r="R112" i="1"/>
  <c r="Q112" i="1"/>
  <c r="S111" i="1"/>
  <c r="R111" i="1"/>
  <c r="Q111" i="1"/>
  <c r="S110" i="1"/>
  <c r="R110" i="1"/>
  <c r="Q110" i="1"/>
  <c r="S109" i="1"/>
  <c r="R109" i="1"/>
  <c r="Q109" i="1"/>
  <c r="S108" i="1"/>
  <c r="R108" i="1"/>
  <c r="Q108" i="1"/>
  <c r="S107" i="1"/>
  <c r="R107" i="1"/>
  <c r="Q107" i="1"/>
  <c r="S106" i="1"/>
  <c r="R106" i="1"/>
  <c r="Q106" i="1"/>
  <c r="S105" i="1"/>
  <c r="R105" i="1"/>
  <c r="Q105" i="1"/>
  <c r="S104" i="1"/>
  <c r="R104" i="1"/>
  <c r="Q104" i="1"/>
  <c r="S103" i="1"/>
  <c r="R103" i="1"/>
  <c r="Q103" i="1"/>
  <c r="S102" i="1"/>
  <c r="R102" i="1"/>
  <c r="Q102" i="1"/>
  <c r="S101" i="1"/>
  <c r="R101" i="1"/>
  <c r="Q101" i="1"/>
  <c r="S100" i="1"/>
  <c r="R100" i="1"/>
  <c r="Q100" i="1"/>
  <c r="S99" i="1"/>
  <c r="R99" i="1"/>
  <c r="Q99" i="1"/>
  <c r="S98" i="1"/>
  <c r="R98" i="1"/>
  <c r="Q98" i="1"/>
  <c r="S97" i="1"/>
  <c r="R97" i="1"/>
  <c r="Q97" i="1"/>
  <c r="S96" i="1"/>
  <c r="R96" i="1"/>
  <c r="Q96" i="1"/>
  <c r="S95" i="1"/>
  <c r="R95" i="1"/>
  <c r="Q95" i="1"/>
  <c r="S94" i="1"/>
  <c r="R94" i="1"/>
  <c r="Q94" i="1"/>
  <c r="S93" i="1"/>
  <c r="R93" i="1"/>
  <c r="Q93" i="1"/>
  <c r="S92" i="1"/>
  <c r="R92" i="1"/>
  <c r="Q92" i="1"/>
  <c r="S91" i="1"/>
  <c r="R91" i="1"/>
  <c r="Q91" i="1"/>
  <c r="S90" i="1"/>
  <c r="R90" i="1"/>
  <c r="Q90" i="1"/>
  <c r="S89" i="1"/>
  <c r="R89" i="1"/>
  <c r="Q89" i="1"/>
  <c r="S88" i="1"/>
  <c r="R88" i="1"/>
  <c r="Q88" i="1"/>
  <c r="S87" i="1"/>
  <c r="R87" i="1"/>
  <c r="Q87" i="1"/>
  <c r="S86" i="1"/>
  <c r="R86" i="1"/>
  <c r="Q86" i="1"/>
  <c r="S85" i="1"/>
  <c r="R85" i="1"/>
  <c r="Q85" i="1"/>
  <c r="S84" i="1"/>
  <c r="R84" i="1"/>
  <c r="Q84" i="1"/>
  <c r="S83" i="1"/>
  <c r="R83" i="1"/>
  <c r="Q83" i="1"/>
  <c r="S82" i="1"/>
  <c r="R82" i="1"/>
  <c r="Q82" i="1"/>
  <c r="S81" i="1"/>
  <c r="R81" i="1"/>
  <c r="Q81" i="1"/>
  <c r="S80" i="1"/>
  <c r="R80" i="1"/>
  <c r="Q80" i="1"/>
  <c r="S79" i="1"/>
  <c r="R79" i="1"/>
  <c r="Q79" i="1"/>
  <c r="S78" i="1"/>
  <c r="R78" i="1"/>
  <c r="Q78" i="1"/>
  <c r="S77" i="1"/>
  <c r="R77" i="1"/>
  <c r="Q77" i="1"/>
  <c r="S76" i="1"/>
  <c r="R76" i="1"/>
  <c r="Q76" i="1"/>
  <c r="S75" i="1"/>
  <c r="R75" i="1"/>
  <c r="Q75" i="1"/>
  <c r="S74" i="1"/>
  <c r="R74" i="1"/>
  <c r="Q74" i="1"/>
  <c r="S73" i="1"/>
  <c r="R73" i="1"/>
  <c r="Q73" i="1"/>
  <c r="S72" i="1"/>
  <c r="R72" i="1"/>
  <c r="Q72" i="1"/>
  <c r="S71" i="1"/>
  <c r="R71" i="1"/>
  <c r="Q71" i="1"/>
  <c r="S70" i="1"/>
  <c r="R70" i="1"/>
  <c r="Q70" i="1"/>
  <c r="S69" i="1"/>
  <c r="R69" i="1"/>
  <c r="Q69" i="1"/>
  <c r="S68" i="1"/>
  <c r="R68" i="1"/>
  <c r="Q68" i="1"/>
  <c r="S67" i="1"/>
  <c r="R67" i="1"/>
  <c r="Q67" i="1"/>
  <c r="S66" i="1"/>
  <c r="R66" i="1"/>
  <c r="Q66" i="1"/>
  <c r="S65" i="1"/>
  <c r="R65" i="1"/>
  <c r="Q65" i="1"/>
  <c r="S64" i="1"/>
  <c r="R64" i="1"/>
  <c r="Q64" i="1"/>
  <c r="S63" i="1"/>
  <c r="R63" i="1"/>
  <c r="Q63" i="1"/>
  <c r="S62" i="1"/>
  <c r="R62" i="1"/>
  <c r="Q62" i="1"/>
  <c r="S61" i="1"/>
  <c r="R61" i="1"/>
  <c r="Q61" i="1"/>
  <c r="S60" i="1"/>
  <c r="R60" i="1"/>
  <c r="Q60" i="1"/>
  <c r="S59" i="1"/>
  <c r="R59" i="1"/>
  <c r="Q59" i="1"/>
  <c r="S58" i="1"/>
  <c r="R58" i="1"/>
  <c r="Q58" i="1"/>
  <c r="S57" i="1"/>
  <c r="R57" i="1"/>
  <c r="Q57" i="1"/>
  <c r="S56" i="1"/>
  <c r="R56" i="1"/>
  <c r="Q56" i="1"/>
  <c r="S55" i="1"/>
  <c r="R55" i="1"/>
  <c r="Q55" i="1"/>
  <c r="S54" i="1"/>
  <c r="R54" i="1"/>
  <c r="Q54" i="1"/>
  <c r="S53" i="1"/>
  <c r="R53" i="1"/>
  <c r="Q53" i="1"/>
  <c r="S52" i="1"/>
  <c r="R52" i="1"/>
  <c r="Q52" i="1"/>
  <c r="S51" i="1"/>
  <c r="R51" i="1"/>
  <c r="Q51" i="1"/>
  <c r="S50" i="1"/>
  <c r="R50" i="1"/>
  <c r="Q50" i="1"/>
  <c r="S49" i="1"/>
  <c r="R49" i="1"/>
  <c r="Q49" i="1"/>
  <c r="S48" i="1"/>
  <c r="R48" i="1"/>
  <c r="Q48" i="1"/>
  <c r="S47" i="1"/>
  <c r="R47" i="1"/>
  <c r="Q47" i="1"/>
  <c r="S46" i="1"/>
  <c r="R46" i="1"/>
  <c r="Q46" i="1"/>
  <c r="S45" i="1"/>
  <c r="R45" i="1"/>
  <c r="Q45" i="1"/>
  <c r="S44" i="1"/>
  <c r="R44" i="1"/>
  <c r="Q44" i="1"/>
  <c r="S43" i="1"/>
  <c r="R43" i="1"/>
  <c r="Q43" i="1"/>
  <c r="S42" i="1"/>
  <c r="R42" i="1"/>
  <c r="Q42" i="1"/>
  <c r="S41" i="1"/>
  <c r="R41" i="1"/>
  <c r="Q41" i="1"/>
  <c r="S40" i="1"/>
  <c r="R40" i="1"/>
  <c r="Q40" i="1"/>
  <c r="S39" i="1"/>
  <c r="R39" i="1"/>
  <c r="Q39" i="1"/>
  <c r="S38" i="1"/>
  <c r="R38" i="1"/>
  <c r="Q38" i="1"/>
  <c r="S37" i="1"/>
  <c r="R37" i="1"/>
  <c r="Q37" i="1"/>
  <c r="S36" i="1"/>
  <c r="R36" i="1"/>
  <c r="Q36" i="1"/>
  <c r="S35" i="1"/>
  <c r="R35" i="1"/>
  <c r="Q35" i="1"/>
  <c r="S34" i="1"/>
  <c r="R34" i="1"/>
  <c r="Q34" i="1"/>
  <c r="S33" i="1"/>
  <c r="R33" i="1"/>
  <c r="Q33" i="1"/>
  <c r="S32" i="1"/>
  <c r="R32" i="1"/>
  <c r="Q32" i="1"/>
  <c r="S31" i="1"/>
  <c r="R31" i="1"/>
  <c r="Q31" i="1"/>
  <c r="S30" i="1"/>
  <c r="R30" i="1"/>
  <c r="Q30" i="1"/>
  <c r="S29" i="1"/>
  <c r="R29" i="1"/>
  <c r="Q29" i="1"/>
  <c r="S28" i="1"/>
  <c r="R28" i="1"/>
  <c r="Q28" i="1"/>
  <c r="S27" i="1"/>
  <c r="R27" i="1"/>
  <c r="Q27" i="1"/>
  <c r="S26" i="1"/>
  <c r="R26" i="1"/>
  <c r="Q26" i="1"/>
  <c r="S25" i="1"/>
  <c r="R25" i="1"/>
  <c r="Q25" i="1"/>
  <c r="S24" i="1"/>
  <c r="R24" i="1"/>
  <c r="Q24" i="1"/>
  <c r="S23" i="1"/>
  <c r="R23" i="1"/>
  <c r="Q23" i="1"/>
  <c r="S22" i="1"/>
  <c r="R22" i="1"/>
  <c r="Q22" i="1"/>
  <c r="S21" i="1"/>
  <c r="R21" i="1"/>
  <c r="Q21" i="1"/>
  <c r="S20" i="1"/>
  <c r="R20" i="1"/>
  <c r="Q20" i="1"/>
  <c r="S19" i="1"/>
  <c r="R19" i="1"/>
  <c r="Q19" i="1"/>
  <c r="S18" i="1"/>
  <c r="R18" i="1"/>
  <c r="Q18" i="1"/>
  <c r="S17" i="1"/>
  <c r="R17" i="1"/>
  <c r="Q17" i="1"/>
  <c r="S16" i="1"/>
  <c r="R16" i="1"/>
  <c r="Q16" i="1"/>
  <c r="S15" i="1"/>
  <c r="R15" i="1"/>
  <c r="Q15" i="1"/>
  <c r="S14" i="1"/>
  <c r="R14" i="1"/>
  <c r="Q14" i="1"/>
  <c r="S13" i="1"/>
  <c r="R13" i="1"/>
  <c r="Q13" i="1"/>
  <c r="S12" i="1"/>
  <c r="R12" i="1"/>
  <c r="Q12" i="1"/>
  <c r="S11" i="1"/>
  <c r="R11" i="1"/>
  <c r="Q11" i="1"/>
  <c r="S10" i="1"/>
  <c r="R10" i="1"/>
  <c r="Q10" i="1"/>
  <c r="S9" i="1"/>
  <c r="R9" i="1"/>
  <c r="Q9" i="1"/>
  <c r="S8" i="1"/>
  <c r="R8" i="1"/>
  <c r="Q8" i="1"/>
  <c r="S7" i="1"/>
  <c r="R7" i="1"/>
  <c r="Q7" i="1"/>
  <c r="S6" i="1"/>
  <c r="R6" i="1"/>
  <c r="Q6" i="1"/>
  <c r="S5" i="1"/>
  <c r="R5" i="1"/>
  <c r="Q5" i="1"/>
  <c r="S4" i="1"/>
  <c r="R4" i="1"/>
  <c r="Q4" i="1"/>
  <c r="S3" i="1"/>
  <c r="R3" i="1"/>
  <c r="Q3" i="1"/>
  <c r="S2" i="1"/>
  <c r="R2" i="1"/>
  <c r="Q2" i="1"/>
</calcChain>
</file>

<file path=xl/sharedStrings.xml><?xml version="1.0" encoding="utf-8"?>
<sst xmlns="http://schemas.openxmlformats.org/spreadsheetml/2006/main" count="1261" uniqueCount="516">
  <si>
    <t>SpecimenAccession</t>
  </si>
  <si>
    <t>SpecimenBarcode</t>
  </si>
  <si>
    <t>DeterminationCalcFullName</t>
  </si>
  <si>
    <t>Collectors</t>
  </si>
  <si>
    <t>CollectorNumber</t>
  </si>
  <si>
    <t>Day</t>
  </si>
  <si>
    <t>Month</t>
  </si>
  <si>
    <t>Year</t>
  </si>
  <si>
    <t>FamilyName</t>
  </si>
  <si>
    <t>CalcFullName</t>
  </si>
  <si>
    <t>LocalityNotes</t>
  </si>
  <si>
    <t>Accounted for</t>
  </si>
  <si>
    <t>Buds</t>
  </si>
  <si>
    <t>Flowers</t>
  </si>
  <si>
    <t>Fruits</t>
  </si>
  <si>
    <t>Notes</t>
  </si>
  <si>
    <t>Percent Buds</t>
  </si>
  <si>
    <t>Percent Flowers</t>
  </si>
  <si>
    <t>Percent Fruit</t>
  </si>
  <si>
    <t>Cercis canadensis 'Greswan'</t>
  </si>
  <si>
    <t>Potenberg, K</t>
  </si>
  <si>
    <t>18907v25</t>
  </si>
  <si>
    <t>Fabaceae</t>
  </si>
  <si>
    <t>Ornamental Flowering Trees: U-32/69-16</t>
  </si>
  <si>
    <t>Yes</t>
  </si>
  <si>
    <t>Cercis canadensis 'Hearts of Gold'</t>
  </si>
  <si>
    <t>18904v25</t>
  </si>
  <si>
    <t>Ornamental Flowering Trees: U-32/21-34</t>
  </si>
  <si>
    <t>Cercis canadensis 'JN2'</t>
  </si>
  <si>
    <t>18905v25</t>
  </si>
  <si>
    <t>Ornamental Flowering Trees: U-32/24-49</t>
  </si>
  <si>
    <t>Cercis canadensis 'UMN7101'</t>
  </si>
  <si>
    <t>18906v25</t>
  </si>
  <si>
    <t>Ornamental Flowering Trees: U-32/67-03</t>
  </si>
  <si>
    <t>Cercis canadensis 'Vanilla Twist'</t>
  </si>
  <si>
    <t>18903v25</t>
  </si>
  <si>
    <t>Ornamental Flowering Trees: U-32/07-45</t>
  </si>
  <si>
    <t>19120v26</t>
  </si>
  <si>
    <t>Dwarf Woody Plants: E-47/45-78</t>
  </si>
  <si>
    <t>0112581MOR</t>
  </si>
  <si>
    <t>Cercis canadensis L.</t>
  </si>
  <si>
    <t>Chen, S</t>
  </si>
  <si>
    <t>18881v25</t>
  </si>
  <si>
    <t>Sterling Pond: R-5/40-02</t>
  </si>
  <si>
    <t>0097773MOR</t>
  </si>
  <si>
    <t>Dorrell, J</t>
  </si>
  <si>
    <t>16201v19</t>
  </si>
  <si>
    <t>Godshalk Meadow: N-32/72-32</t>
  </si>
  <si>
    <t>0098115MOR</t>
  </si>
  <si>
    <t>16200v19</t>
  </si>
  <si>
    <t>Godshalk Meadow: N-32/65-11</t>
  </si>
  <si>
    <t>0098844MOR</t>
  </si>
  <si>
    <t>Cercis canadensis 'MN Strain'</t>
  </si>
  <si>
    <t>Nowicki, B</t>
  </si>
  <si>
    <t>15964v18</t>
  </si>
  <si>
    <t>Entrance Drive: O-41/18-34</t>
  </si>
  <si>
    <t>0101682MOR</t>
  </si>
  <si>
    <t>17821v23</t>
  </si>
  <si>
    <t>Service Drive: M-41/12-57</t>
  </si>
  <si>
    <t>0057666MOR</t>
  </si>
  <si>
    <t>Cercis canadensis 'Morton'</t>
  </si>
  <si>
    <t>Moran, E</t>
  </si>
  <si>
    <t>12831v11</t>
  </si>
  <si>
    <t>Arbor Court: L-47/06-02</t>
  </si>
  <si>
    <t>0095836MOR</t>
  </si>
  <si>
    <t>Cercis canadensis 'Pauline Lily'</t>
  </si>
  <si>
    <t>15658v17</t>
  </si>
  <si>
    <t>Godshalk Meadow: M-30/97-88</t>
  </si>
  <si>
    <t>0102499MOR</t>
  </si>
  <si>
    <t>Cercis canadensis 'Pink Pom Poms'</t>
  </si>
  <si>
    <t>17868v23</t>
  </si>
  <si>
    <t>Research Building: H-41/24-76</t>
  </si>
  <si>
    <t>0043149MOR</t>
  </si>
  <si>
    <t>Cercis canadensis 'Pinkbud'</t>
  </si>
  <si>
    <t>Podrasky, N</t>
  </si>
  <si>
    <t>1899V88</t>
  </si>
  <si>
    <t>Chinese Collection, Y-62/64-41</t>
  </si>
  <si>
    <t>0043146MOR</t>
  </si>
  <si>
    <t>Shimp, E</t>
  </si>
  <si>
    <t>2424V89</t>
  </si>
  <si>
    <t>Leguminosae Collection, L-64/90-00</t>
  </si>
  <si>
    <t>0043147MOR</t>
  </si>
  <si>
    <t>2425V89</t>
  </si>
  <si>
    <t>Leguminosae Collection, L-63/80-85</t>
  </si>
  <si>
    <t>0043156MOR</t>
  </si>
  <si>
    <t>Ciolac, C</t>
  </si>
  <si>
    <t>s.n.</t>
  </si>
  <si>
    <t>Along Oakwood Dr. near DuPage River and Abies concolor.</t>
  </si>
  <si>
    <t>0043148MOR</t>
  </si>
  <si>
    <t>2419V89</t>
  </si>
  <si>
    <t>Leguminosae Collection, N-63/85-40</t>
  </si>
  <si>
    <t>0100972MOR</t>
  </si>
  <si>
    <t>17352v22</t>
  </si>
  <si>
    <t>Godshalk Meadow: N-32/81-15</t>
  </si>
  <si>
    <t>0043161MOR</t>
  </si>
  <si>
    <t>Cercis canadensis 'Wither's Pink Charm'</t>
  </si>
  <si>
    <t>Braham, R</t>
  </si>
  <si>
    <t>M-62/45-95</t>
  </si>
  <si>
    <t>0043162MOR</t>
  </si>
  <si>
    <t>0043151MOR</t>
  </si>
  <si>
    <t>Deal, G</t>
  </si>
  <si>
    <t>840V87</t>
  </si>
  <si>
    <t>M-62/10-75</t>
  </si>
  <si>
    <t>0043154MOR</t>
  </si>
  <si>
    <t>Cercis canadensis var. texensis (S.Watson) M.Hopkins</t>
  </si>
  <si>
    <t>Kirt, S</t>
  </si>
  <si>
    <t>8537V98</t>
  </si>
  <si>
    <t>Hatch Meadow, East side; CC-43/73-05</t>
  </si>
  <si>
    <t>0043153MOR</t>
  </si>
  <si>
    <t>Packard, S</t>
  </si>
  <si>
    <t>4967V91</t>
  </si>
  <si>
    <t>Southwest US, T-19/Area</t>
  </si>
  <si>
    <t>0043155MOR</t>
  </si>
  <si>
    <t>Maggerise, J</t>
  </si>
  <si>
    <t>7801V97</t>
  </si>
  <si>
    <t>Pinaceae Collection, Larix Section; K-54/31-28</t>
  </si>
  <si>
    <t>0043145MOR</t>
  </si>
  <si>
    <t>7802V97</t>
  </si>
  <si>
    <t>Pinaceae Collection, Larix section; K-54/18-32</t>
  </si>
  <si>
    <t>0043152MOR</t>
  </si>
  <si>
    <t>9285V01</t>
  </si>
  <si>
    <t>Hatchmeadow, CC-43/73-05</t>
  </si>
  <si>
    <t>0052536MOR</t>
  </si>
  <si>
    <t>Cercis canadensis 'Covey'</t>
  </si>
  <si>
    <t>Jurczynski, J</t>
  </si>
  <si>
    <t>10300V06</t>
  </si>
  <si>
    <t>Dwarf Woody Plants, bed 3; D-47/76-72</t>
  </si>
  <si>
    <t>0052057MOR</t>
  </si>
  <si>
    <t>Glaysher, L</t>
  </si>
  <si>
    <t>11587v09</t>
  </si>
  <si>
    <t>Dwarf Woody Plants, bed 3: D-47/76-72</t>
  </si>
  <si>
    <t>0057719MOR</t>
  </si>
  <si>
    <t>Cercis canadensis 'Forest Pansy'</t>
  </si>
  <si>
    <t>Courtney, C</t>
  </si>
  <si>
    <t>12867v11</t>
  </si>
  <si>
    <t>Fragrance Garden: KK-25/81-77</t>
  </si>
  <si>
    <t>0088559MOR</t>
  </si>
  <si>
    <t>Carle, M</t>
  </si>
  <si>
    <t>14806v16</t>
  </si>
  <si>
    <t>Four Seasons Garden: KK-28/14-87</t>
  </si>
  <si>
    <t>0058856MOR</t>
  </si>
  <si>
    <t>Sachdev, S</t>
  </si>
  <si>
    <t>13355v12</t>
  </si>
  <si>
    <t>0043142MOR</t>
  </si>
  <si>
    <t>Cercis canadensis f. alba Rehder</t>
  </si>
  <si>
    <t>Kammerer, E</t>
  </si>
  <si>
    <t>0043140MOR</t>
  </si>
  <si>
    <t>Read, RW</t>
  </si>
  <si>
    <t>S side of Meadow Lake along Illinois Tree Trail, N-50/20-45</t>
  </si>
  <si>
    <t>0043141MOR</t>
  </si>
  <si>
    <t>0043139MOR</t>
  </si>
  <si>
    <t>N-47/0-35</t>
  </si>
  <si>
    <t>0043143MOR</t>
  </si>
  <si>
    <t>Altvatter, K</t>
  </si>
  <si>
    <t>7360V96</t>
  </si>
  <si>
    <t>S side of Meadow Lake, N-51/55-65</t>
  </si>
  <si>
    <t>0043144MOR</t>
  </si>
  <si>
    <t>3560V90</t>
  </si>
  <si>
    <t>Near Meadow Lake, N-50/20-45</t>
  </si>
  <si>
    <t>0043150MOR</t>
  </si>
  <si>
    <t>Grintz, M</t>
  </si>
  <si>
    <t>S side of Meadow Lake, N-50/20-45</t>
  </si>
  <si>
    <t>0043133MOR</t>
  </si>
  <si>
    <t>1888V88</t>
  </si>
  <si>
    <t>0088632MOR</t>
  </si>
  <si>
    <t>Madden, ME</t>
  </si>
  <si>
    <t>14778v16</t>
  </si>
  <si>
    <t>Childrens Garden: J-51/36-46</t>
  </si>
  <si>
    <t>0043079MOR</t>
  </si>
  <si>
    <t>E side of Simonds Rd., near Thornhill; JJ-31/area</t>
  </si>
  <si>
    <t>0043092MOR</t>
  </si>
  <si>
    <t>6984V95</t>
  </si>
  <si>
    <t>Ozark Collection, Q-26/35-71</t>
  </si>
  <si>
    <t>0043084MOR</t>
  </si>
  <si>
    <t>Klock, K</t>
  </si>
  <si>
    <t>2454V89</t>
  </si>
  <si>
    <t>F-60/area on Frost Hill</t>
  </si>
  <si>
    <t>0043089MOR</t>
  </si>
  <si>
    <t>Brunke, K</t>
  </si>
  <si>
    <t>5687V93</t>
  </si>
  <si>
    <t>Near West Treatment Plant, L-28/area</t>
  </si>
  <si>
    <t>0043132MOR</t>
  </si>
  <si>
    <t>6991V95</t>
  </si>
  <si>
    <t>Ozark Collection, T-28/22-98</t>
  </si>
  <si>
    <t>0043088MOR</t>
  </si>
  <si>
    <t>2410V89</t>
  </si>
  <si>
    <t>Northern Illinois Collection, K-60/95-52</t>
  </si>
  <si>
    <t>0088541MOR</t>
  </si>
  <si>
    <t>14803v16</t>
  </si>
  <si>
    <t>Thornhill Building: LL-28/85-39</t>
  </si>
  <si>
    <t>0052079MOR</t>
  </si>
  <si>
    <t>10924v08</t>
  </si>
  <si>
    <t>Northern Illinois: K-62/09-21</t>
  </si>
  <si>
    <t>0093222MOR</t>
  </si>
  <si>
    <t>15341v17</t>
  </si>
  <si>
    <t>Meadow Lake: N-51/59-86</t>
  </si>
  <si>
    <t>0056213MOR</t>
  </si>
  <si>
    <t>Kubic, C</t>
  </si>
  <si>
    <t>12203v10</t>
  </si>
  <si>
    <t>Godshalk Meadow, south side: L-29/95-00</t>
  </si>
  <si>
    <t>0056004MOR</t>
  </si>
  <si>
    <t>11528-v09</t>
  </si>
  <si>
    <t>Northern Illinois: K-62/17-13</t>
  </si>
  <si>
    <t>0052414MOR</t>
  </si>
  <si>
    <t>Smith, AM</t>
  </si>
  <si>
    <t>10301V06</t>
  </si>
  <si>
    <t>Near Administration Building, west fence: J-39/28-59</t>
  </si>
  <si>
    <t>0043077MOR</t>
  </si>
  <si>
    <t>Wise, R</t>
  </si>
  <si>
    <t>7739V97</t>
  </si>
  <si>
    <t>Meadow Lake Collection, N-50/23-61</t>
  </si>
  <si>
    <t>0088620MOR</t>
  </si>
  <si>
    <t>14776v16</t>
  </si>
  <si>
    <t>Childrens Garden: K-50/99-43</t>
  </si>
  <si>
    <t>0096770MOR</t>
  </si>
  <si>
    <t>16105v19</t>
  </si>
  <si>
    <t>Fragrance Garden: KK-25/73-90</t>
  </si>
  <si>
    <t>0058052MOR</t>
  </si>
  <si>
    <t>12872v11</t>
  </si>
  <si>
    <t>Childrens Garden:K-50/86-09</t>
  </si>
  <si>
    <t>0043075MOR</t>
  </si>
  <si>
    <t>Gavlak, N</t>
  </si>
  <si>
    <t>3309V90</t>
  </si>
  <si>
    <t>K-41/area near Administration Bldg.</t>
  </si>
  <si>
    <t>0088626MOR</t>
  </si>
  <si>
    <t>14777v16</t>
  </si>
  <si>
    <t>Childrens Garden: J-49/93-90</t>
  </si>
  <si>
    <t>0088639MOR</t>
  </si>
  <si>
    <t>14780v16</t>
  </si>
  <si>
    <t>Childrens Garden: K-52/16-58</t>
  </si>
  <si>
    <t>0054406MOR</t>
  </si>
  <si>
    <t>10947v08</t>
  </si>
  <si>
    <t>Thornhill Building, northwest section: LL-27/32-43</t>
  </si>
  <si>
    <t>0088542MOR</t>
  </si>
  <si>
    <t>DeVries, C</t>
  </si>
  <si>
    <t>14802v16</t>
  </si>
  <si>
    <t>Thornhill Parking: LL-27/94-90</t>
  </si>
  <si>
    <t>0052429MOR</t>
  </si>
  <si>
    <t>Olker, B</t>
  </si>
  <si>
    <t>10308V06</t>
  </si>
  <si>
    <t>Northern Illinois; K-62/05-09</t>
  </si>
  <si>
    <t>0054416MOR</t>
  </si>
  <si>
    <t>10942v08</t>
  </si>
  <si>
    <t>Thornhill Building, northwest section: LL-27/39-28</t>
  </si>
  <si>
    <t>0056356MOR</t>
  </si>
  <si>
    <t>12183v10</t>
  </si>
  <si>
    <t>Staff Parking, south side: L-42/04-46</t>
  </si>
  <si>
    <t>0088627MOR</t>
  </si>
  <si>
    <t>14786v16</t>
  </si>
  <si>
    <t>Forecourt: M-44/44-81</t>
  </si>
  <si>
    <t>0088547MOR</t>
  </si>
  <si>
    <t>14804v16</t>
  </si>
  <si>
    <t>Thornhill Parking: LL-29/97-17</t>
  </si>
  <si>
    <t>0043068MOR</t>
  </si>
  <si>
    <t>7336V96</t>
  </si>
  <si>
    <t>SW Cloverleaf, N-38/26-46</t>
  </si>
  <si>
    <t>0043131MOR</t>
  </si>
  <si>
    <t>6992V95</t>
  </si>
  <si>
    <t>Ozark Collection, T-29/01-01</t>
  </si>
  <si>
    <t>0043076MOR</t>
  </si>
  <si>
    <t>Allen, K</t>
  </si>
  <si>
    <t>7335V96</t>
  </si>
  <si>
    <t>Southwest Cloverleaf, N-38/12-46</t>
  </si>
  <si>
    <t>0090088MOR</t>
  </si>
  <si>
    <t>14807v16</t>
  </si>
  <si>
    <t>Thornhill Building: JJ-27/58-73</t>
  </si>
  <si>
    <t>0088638MOR</t>
  </si>
  <si>
    <t>14779v16</t>
  </si>
  <si>
    <t>Childrens Garden: J-51/75-37</t>
  </si>
  <si>
    <t>0043067MOR</t>
  </si>
  <si>
    <t>7334V96</t>
  </si>
  <si>
    <t>Southwest Cloverleaf, N-38/14-35</t>
  </si>
  <si>
    <t>0088633MOR</t>
  </si>
  <si>
    <t>14782v16</t>
  </si>
  <si>
    <t>Childrens Garden: K-52/07-63</t>
  </si>
  <si>
    <t>0054324MOR</t>
  </si>
  <si>
    <t>10950v08</t>
  </si>
  <si>
    <t>Thornhill Building, northwest section: LL-27/51-32</t>
  </si>
  <si>
    <t>0043083MOR</t>
  </si>
  <si>
    <t>5060V92</t>
  </si>
  <si>
    <t>NE cloverleaf area</t>
  </si>
  <si>
    <t>0043130MOR</t>
  </si>
  <si>
    <t>6985V95</t>
  </si>
  <si>
    <t>Ozark Collection, Q-26/41-88</t>
  </si>
  <si>
    <t>0057675MOR</t>
  </si>
  <si>
    <t>12905v11</t>
  </si>
  <si>
    <t>Staff Parking: K-42/94-36</t>
  </si>
  <si>
    <t>0088553MOR</t>
  </si>
  <si>
    <t>14805v16</t>
  </si>
  <si>
    <t>Thornhill Building: LL-29/15-12</t>
  </si>
  <si>
    <t>0043078MOR</t>
  </si>
  <si>
    <t>7337V96</t>
  </si>
  <si>
    <t>SW Cloverleaf, N-38/22-33</t>
  </si>
  <si>
    <t>0058803MOR</t>
  </si>
  <si>
    <t>13351v12</t>
  </si>
  <si>
    <t>Thornhill Building: LL-27/39-28</t>
  </si>
  <si>
    <t>0098850MOR</t>
  </si>
  <si>
    <t>15931v18</t>
  </si>
  <si>
    <t>Thornhill Parking: LL-28/85-39</t>
  </si>
  <si>
    <t>0098190MOR</t>
  </si>
  <si>
    <t>16213v19</t>
  </si>
  <si>
    <t>Forecourt: N-44/21-80</t>
  </si>
  <si>
    <t>0098347MOR</t>
  </si>
  <si>
    <t>16622v19</t>
  </si>
  <si>
    <t>Thornhill Building: founder's room: JJ-27/58-73</t>
  </si>
  <si>
    <t>0084732MOR</t>
  </si>
  <si>
    <t>14669v15</t>
  </si>
  <si>
    <t>Godshalk Meadow: L-27/99-69</t>
  </si>
  <si>
    <t>0099752MOR</t>
  </si>
  <si>
    <t>16823v21</t>
  </si>
  <si>
    <t>Thornhill: Thornhill Building: JJ-27/58-73</t>
  </si>
  <si>
    <t>0099952MOR</t>
  </si>
  <si>
    <t>16874v21</t>
  </si>
  <si>
    <t>Godshalk Meadow: Parking 33: east side: J-36/14-07</t>
  </si>
  <si>
    <t>0101681MOR</t>
  </si>
  <si>
    <t>17822v23</t>
  </si>
  <si>
    <t>Service Drive: M-41/09-37</t>
  </si>
  <si>
    <t>0099946MOR</t>
  </si>
  <si>
    <t>16791v21</t>
  </si>
  <si>
    <t>Fragrance garden north bed: KK-25/75-58</t>
  </si>
  <si>
    <t>0102562MOR</t>
  </si>
  <si>
    <t>17975v23</t>
  </si>
  <si>
    <t>Founder's Grove: CC-30/99-54</t>
  </si>
  <si>
    <t>0109184MOR</t>
  </si>
  <si>
    <t>18672v24</t>
  </si>
  <si>
    <t>Visitor Center Parking: southeast: O-46/96-34</t>
  </si>
  <si>
    <t>0054099MOR</t>
  </si>
  <si>
    <t>Brown, B</t>
  </si>
  <si>
    <t>11208v08</t>
  </si>
  <si>
    <t>0043091MOR</t>
  </si>
  <si>
    <t>Hess, WJ</t>
  </si>
  <si>
    <t>5309V92</t>
  </si>
  <si>
    <t>Sunfish Pond, near clump of Cornus amomum; BB-43/area</t>
  </si>
  <si>
    <t>0043080MOR</t>
  </si>
  <si>
    <t>Swink, FA</t>
  </si>
  <si>
    <t>Arbordale</t>
  </si>
  <si>
    <t>0098916MOR</t>
  </si>
  <si>
    <t>Beck, J</t>
  </si>
  <si>
    <t>15694v17</t>
  </si>
  <si>
    <t>0064053MOR</t>
  </si>
  <si>
    <t>Casey, A</t>
  </si>
  <si>
    <t>13856v13</t>
  </si>
  <si>
    <t>Administration Building: J-39/28-59</t>
  </si>
  <si>
    <t>0059617MOR</t>
  </si>
  <si>
    <t>13484v12</t>
  </si>
  <si>
    <t>0054139MOR</t>
  </si>
  <si>
    <t>11207v08</t>
  </si>
  <si>
    <t>Northern Illinois: K-62/05-09</t>
  </si>
  <si>
    <t>0043087MOR</t>
  </si>
  <si>
    <t>4040V90</t>
  </si>
  <si>
    <t>Near Visitor Center, N-47/Area</t>
  </si>
  <si>
    <t>0061037MOR</t>
  </si>
  <si>
    <t>13574v12</t>
  </si>
  <si>
    <t>Thornhill Building: LL-27/51-32</t>
  </si>
  <si>
    <t>0050139MOR</t>
  </si>
  <si>
    <t>Nordmann, K</t>
  </si>
  <si>
    <t>10150V05</t>
  </si>
  <si>
    <t>Godshalk Meadow, southeast side, shade bed; L-35/63-44</t>
  </si>
  <si>
    <t>0043095MOR</t>
  </si>
  <si>
    <t>M-62/45-70</t>
  </si>
  <si>
    <t>0060764MOR</t>
  </si>
  <si>
    <t>13548v12</t>
  </si>
  <si>
    <t>Midwest: K-68/46-50</t>
  </si>
  <si>
    <t>0057737MOR</t>
  </si>
  <si>
    <t>Vastalo, P</t>
  </si>
  <si>
    <t>12844v11</t>
  </si>
  <si>
    <t>Appalachia: CC-74/76-27</t>
  </si>
  <si>
    <t>0060960MOR</t>
  </si>
  <si>
    <t>Connolly, G</t>
  </si>
  <si>
    <t>13600v12</t>
  </si>
  <si>
    <t>Midwest: K-63/75-59</t>
  </si>
  <si>
    <t>0043086MOR</t>
  </si>
  <si>
    <t>4045V90</t>
  </si>
  <si>
    <t>Near Meadow Lake, P-48/Area</t>
  </si>
  <si>
    <t>0054219MOR</t>
  </si>
  <si>
    <t>Sturner, J</t>
  </si>
  <si>
    <t>12393v10</t>
  </si>
  <si>
    <t>Children's Garden, Evergreen Tree Walk; K-50/91-01</t>
  </si>
  <si>
    <t>0043081MOR</t>
  </si>
  <si>
    <t>Craft, A</t>
  </si>
  <si>
    <t>2132V88</t>
  </si>
  <si>
    <t>0057671MOR</t>
  </si>
  <si>
    <t>12841v11</t>
  </si>
  <si>
    <t>Midwest: L-63/02-43</t>
  </si>
  <si>
    <t>0052570MOR</t>
  </si>
  <si>
    <t>10525V07</t>
  </si>
  <si>
    <t>Godshalk Meadow, south side: L-29/94-03</t>
  </si>
  <si>
    <t>0043134MOR</t>
  </si>
  <si>
    <t>N side of Simonds Rd. near Thornhill, JJ-31/area</t>
  </si>
  <si>
    <t>0043135MOR</t>
  </si>
  <si>
    <t>9235V01</t>
  </si>
  <si>
    <t>East Cloverleaf, N-43/84-31</t>
  </si>
  <si>
    <t>0056293MOR</t>
  </si>
  <si>
    <t>12677v10</t>
  </si>
  <si>
    <t>Meadow Lake, west side: Q-49/75-27</t>
  </si>
  <si>
    <t>0059616MOR</t>
  </si>
  <si>
    <t>13482v12</t>
  </si>
  <si>
    <t>0057355MOR</t>
  </si>
  <si>
    <t>13102v11</t>
  </si>
  <si>
    <t>Visitor Center Parking: R-49/03-25</t>
  </si>
  <si>
    <t>0057353MOR</t>
  </si>
  <si>
    <t>13104v11</t>
  </si>
  <si>
    <t>Meadow Lake: P-48/70-50</t>
  </si>
  <si>
    <t>0055279MOR</t>
  </si>
  <si>
    <t>Ivany, L</t>
  </si>
  <si>
    <t>11768v09</t>
  </si>
  <si>
    <t>0043138MOR</t>
  </si>
  <si>
    <t>4378V91</t>
  </si>
  <si>
    <t>Near Visitor's Center, N-47/Area</t>
  </si>
  <si>
    <t>0057354MOR</t>
  </si>
  <si>
    <t>13103v11</t>
  </si>
  <si>
    <t>Visitor Center Parking: Q-48/13-53</t>
  </si>
  <si>
    <t>0043093MOR</t>
  </si>
  <si>
    <t>Sargents' Glade</t>
  </si>
  <si>
    <t>0043085MOR</t>
  </si>
  <si>
    <t>5308V92</t>
  </si>
  <si>
    <t>Sunfish Pond; several trees in clump near spruce plantation; BB-43/area</t>
  </si>
  <si>
    <t>0043136MOR</t>
  </si>
  <si>
    <t>9236V01</t>
  </si>
  <si>
    <t>East Cloverleaf, N-43/88-41</t>
  </si>
  <si>
    <t>0043137MOR</t>
  </si>
  <si>
    <t>9237V01</t>
  </si>
  <si>
    <t>East Cloverleaf, N-43/77-43</t>
  </si>
  <si>
    <t>0043094MOR</t>
  </si>
  <si>
    <t>Teuscher, H</t>
  </si>
  <si>
    <t>NA</t>
  </si>
  <si>
    <t>Sprouts</t>
  </si>
  <si>
    <t>0060719MOR</t>
  </si>
  <si>
    <t>13547v12</t>
  </si>
  <si>
    <t>Midwest: K-63/94-56</t>
  </si>
  <si>
    <t>0053062MOR</t>
  </si>
  <si>
    <t>10734V07</t>
  </si>
  <si>
    <t>Northern Illinois: K-60/96-34</t>
  </si>
  <si>
    <t>0095825MOR</t>
  </si>
  <si>
    <t>15618v17</t>
  </si>
  <si>
    <t>Thornhill Overflow Lot: PP-22/76-49</t>
  </si>
  <si>
    <t>0061045MOR</t>
  </si>
  <si>
    <t>13603v12</t>
  </si>
  <si>
    <t>Midwest: K-68/37-25</t>
  </si>
  <si>
    <t>0095784MOR</t>
  </si>
  <si>
    <t>15439v17</t>
  </si>
  <si>
    <t>Meadow Lake: N-51/42-84</t>
  </si>
  <si>
    <t>0052767MOR</t>
  </si>
  <si>
    <t>10735V07</t>
  </si>
  <si>
    <t>Northern Illinois: L-60/02-46</t>
  </si>
  <si>
    <t>0043090MOR</t>
  </si>
  <si>
    <t>4384V91</t>
  </si>
  <si>
    <t>Godshalk Meadow, L-35/63-44</t>
  </si>
  <si>
    <t>0065940MOR</t>
  </si>
  <si>
    <t>Sherman, L</t>
  </si>
  <si>
    <t>13615v12</t>
  </si>
  <si>
    <t>Visitor Center Parking: Q-49/94-14</t>
  </si>
  <si>
    <t>0054223MOR</t>
  </si>
  <si>
    <t>Henry, J</t>
  </si>
  <si>
    <t>12392v10</t>
  </si>
  <si>
    <t>Children's Garden, Evergreen Tree Walk; K-50/86-09</t>
  </si>
  <si>
    <t>0064054MOR</t>
  </si>
  <si>
    <t>13857v13</t>
  </si>
  <si>
    <t>Administration Building: J-39/11-52</t>
  </si>
  <si>
    <t>0043073MOR</t>
  </si>
  <si>
    <t>2409V89</t>
  </si>
  <si>
    <t>Northern Illinois, L-60/02-46</t>
  </si>
  <si>
    <t>0043129MOR</t>
  </si>
  <si>
    <t>4380V91</t>
  </si>
  <si>
    <t>0057591MOR</t>
  </si>
  <si>
    <t>13085v11</t>
  </si>
  <si>
    <t>Visitor Center Parking: R-50/72-52</t>
  </si>
  <si>
    <t>0055590MOR</t>
  </si>
  <si>
    <t>11323v08</t>
  </si>
  <si>
    <t>Arbor House, west fence: H-36/66-39</t>
  </si>
  <si>
    <t>0043096MOR</t>
  </si>
  <si>
    <t>4931V91</t>
  </si>
  <si>
    <t>0052451MOR</t>
  </si>
  <si>
    <t>Means, E</t>
  </si>
  <si>
    <t>10393V06</t>
  </si>
  <si>
    <t>Leguminosae; Q-59/34-30</t>
  </si>
  <si>
    <t>0053814MOR</t>
  </si>
  <si>
    <t>10922V08</t>
  </si>
  <si>
    <t>Administration Building, west fence: J-39/11-52.</t>
  </si>
  <si>
    <t>0057738MOR</t>
  </si>
  <si>
    <t>12843v11</t>
  </si>
  <si>
    <t>Appalachia: CC-74/72-14</t>
  </si>
  <si>
    <t>0043074MOR</t>
  </si>
  <si>
    <t>2408V89</t>
  </si>
  <si>
    <t>Northern Illinois, K-60/96-34</t>
  </si>
  <si>
    <t>0043082MOR</t>
  </si>
  <si>
    <t>1322V87</t>
  </si>
  <si>
    <t>Near East Cloverleaf, O-43</t>
  </si>
  <si>
    <t>0043166MOR</t>
  </si>
  <si>
    <t>Cercis chinensis Bunge</t>
  </si>
  <si>
    <t>seedlings</t>
  </si>
  <si>
    <t>0043159MOR</t>
  </si>
  <si>
    <t>5953V93</t>
  </si>
  <si>
    <t>Diversity Collection, P-58/30-45</t>
  </si>
  <si>
    <t>0043167MOR</t>
  </si>
  <si>
    <t>1380V87</t>
  </si>
  <si>
    <t>Sand Beds, bed 3; D-45/28-69</t>
  </si>
  <si>
    <t>0043165MOR</t>
  </si>
  <si>
    <t>Drainage, D-45/25-65</t>
  </si>
  <si>
    <t>0043158MOR</t>
  </si>
  <si>
    <t>4371V91</t>
  </si>
  <si>
    <t>Plants for Sandy Soils, D-45/28-69</t>
  </si>
  <si>
    <t>0043168MOR</t>
  </si>
  <si>
    <t>6039V93</t>
  </si>
  <si>
    <t>Leguminosae Collection, P-59/17-53</t>
  </si>
  <si>
    <t>0043157MOR</t>
  </si>
  <si>
    <t>4464V91</t>
  </si>
  <si>
    <t>Diversity Collection, P-58/25-55</t>
  </si>
  <si>
    <t>0043160MOR</t>
  </si>
  <si>
    <t>5952V93</t>
  </si>
  <si>
    <t>0043164MOR</t>
  </si>
  <si>
    <t>0043163MOR</t>
  </si>
  <si>
    <t>Cercis siliquastrum L.</t>
  </si>
  <si>
    <t>Schulenberg, RF</t>
  </si>
  <si>
    <t>Between greenhouses</t>
  </si>
  <si>
    <t>0043174MOR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</si>
</sst>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10" fontId="3" fillId="0" borderId="0" xfId="0" applyNumberFormat="1" applyFont="1" applyAlignment="1">
      <alignment horizontal="center"/>
    </xf>
    <xf numFmtId="10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157"/>
  <sheetViews>
    <sheetView tabSelected="1" topLeftCell="A12" workbookViewId="0">
      <selection activeCell="C8" sqref="C8"/>
    </sheetView>
  </sheetViews>
  <sheetFormatPr baseColWidth="10" defaultColWidth="12.6640625" defaultRowHeight="15.75" customHeight="1" x14ac:dyDescent="0.15"/>
  <cols>
    <col min="3" max="3" width="28.1640625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2">
      <c r="A2" s="3">
        <v>196267</v>
      </c>
      <c r="B2" s="4"/>
      <c r="C2" s="4" t="s">
        <v>19</v>
      </c>
      <c r="D2" s="4" t="s">
        <v>20</v>
      </c>
      <c r="E2" s="4" t="s">
        <v>21</v>
      </c>
      <c r="F2" s="3">
        <v>31</v>
      </c>
      <c r="G2" s="3">
        <v>7</v>
      </c>
      <c r="H2" s="3">
        <v>2025</v>
      </c>
      <c r="I2" s="4" t="s">
        <v>22</v>
      </c>
      <c r="J2" s="4" t="s">
        <v>19</v>
      </c>
      <c r="K2" s="4" t="s">
        <v>23</v>
      </c>
      <c r="L2" s="5" t="s">
        <v>24</v>
      </c>
      <c r="M2" s="3">
        <v>0</v>
      </c>
      <c r="N2" s="3">
        <v>0</v>
      </c>
      <c r="O2" s="3">
        <v>0</v>
      </c>
      <c r="P2" s="4"/>
      <c r="Q2" s="6" t="e">
        <f t="shared" ref="Q2:Q157" si="0">(M2/(M2+ N2 +O2))</f>
        <v>#DIV/0!</v>
      </c>
      <c r="R2" s="6" t="e">
        <f t="shared" ref="R2:R157" si="1">(N2/(M2+ N2 +O2))</f>
        <v>#DIV/0!</v>
      </c>
      <c r="S2" s="6" t="e">
        <f t="shared" ref="S2:S157" si="2">(O2/(M2+ N2 +O2))</f>
        <v>#DIV/0!</v>
      </c>
    </row>
    <row r="3" spans="1:19" x14ac:dyDescent="0.2">
      <c r="A3" s="4">
        <v>3</v>
      </c>
      <c r="B3" s="4"/>
      <c r="C3" s="4" t="s">
        <v>25</v>
      </c>
      <c r="D3" s="4" t="s">
        <v>20</v>
      </c>
      <c r="E3" s="4" t="s">
        <v>26</v>
      </c>
      <c r="F3" s="3">
        <v>31</v>
      </c>
      <c r="G3" s="3">
        <v>7</v>
      </c>
      <c r="H3" s="3">
        <v>2025</v>
      </c>
      <c r="I3" s="4" t="s">
        <v>22</v>
      </c>
      <c r="J3" s="4" t="s">
        <v>25</v>
      </c>
      <c r="K3" s="4" t="s">
        <v>27</v>
      </c>
      <c r="L3" s="5" t="s">
        <v>24</v>
      </c>
      <c r="M3" s="3">
        <v>0</v>
      </c>
      <c r="N3" s="3">
        <v>0</v>
      </c>
      <c r="O3" s="3">
        <v>7</v>
      </c>
      <c r="P3" s="4"/>
      <c r="Q3" s="6">
        <f t="shared" si="0"/>
        <v>0</v>
      </c>
      <c r="R3" s="6">
        <f t="shared" si="1"/>
        <v>0</v>
      </c>
      <c r="S3" s="6">
        <f t="shared" si="2"/>
        <v>1</v>
      </c>
    </row>
    <row r="4" spans="1:19" x14ac:dyDescent="0.2">
      <c r="A4" s="4">
        <v>4</v>
      </c>
      <c r="B4" s="4"/>
      <c r="C4" s="4" t="s">
        <v>28</v>
      </c>
      <c r="D4" s="4" t="s">
        <v>20</v>
      </c>
      <c r="E4" s="4" t="s">
        <v>29</v>
      </c>
      <c r="F4" s="3">
        <v>31</v>
      </c>
      <c r="G4" s="3">
        <v>7</v>
      </c>
      <c r="H4" s="3">
        <v>2025</v>
      </c>
      <c r="I4" s="4" t="s">
        <v>22</v>
      </c>
      <c r="J4" s="4" t="s">
        <v>28</v>
      </c>
      <c r="K4" s="4" t="s">
        <v>30</v>
      </c>
      <c r="L4" s="5" t="s">
        <v>24</v>
      </c>
      <c r="M4" s="3">
        <v>0</v>
      </c>
      <c r="N4" s="3">
        <v>0</v>
      </c>
      <c r="O4" s="3">
        <v>8</v>
      </c>
      <c r="P4" s="4"/>
      <c r="Q4" s="6">
        <f t="shared" si="0"/>
        <v>0</v>
      </c>
      <c r="R4" s="6">
        <f t="shared" si="1"/>
        <v>0</v>
      </c>
      <c r="S4" s="6">
        <f t="shared" si="2"/>
        <v>1</v>
      </c>
    </row>
    <row r="5" spans="1:19" x14ac:dyDescent="0.2">
      <c r="A5" s="3">
        <v>196266</v>
      </c>
      <c r="B5" s="4"/>
      <c r="C5" s="4" t="s">
        <v>31</v>
      </c>
      <c r="D5" s="4" t="s">
        <v>20</v>
      </c>
      <c r="E5" s="4" t="s">
        <v>32</v>
      </c>
      <c r="F5" s="3">
        <v>31</v>
      </c>
      <c r="G5" s="3">
        <v>7</v>
      </c>
      <c r="H5" s="3">
        <v>2025</v>
      </c>
      <c r="I5" s="4" t="s">
        <v>22</v>
      </c>
      <c r="J5" s="4" t="s">
        <v>31</v>
      </c>
      <c r="K5" s="4" t="s">
        <v>33</v>
      </c>
      <c r="L5" s="5" t="s">
        <v>24</v>
      </c>
      <c r="M5" s="3">
        <v>0</v>
      </c>
      <c r="N5" s="3">
        <v>0</v>
      </c>
      <c r="O5" s="3">
        <v>2</v>
      </c>
      <c r="P5" s="4"/>
      <c r="Q5" s="6">
        <f t="shared" si="0"/>
        <v>0</v>
      </c>
      <c r="R5" s="6">
        <f t="shared" si="1"/>
        <v>0</v>
      </c>
      <c r="S5" s="6">
        <f t="shared" si="2"/>
        <v>1</v>
      </c>
    </row>
    <row r="6" spans="1:19" x14ac:dyDescent="0.2">
      <c r="A6" s="4">
        <v>5</v>
      </c>
      <c r="B6" s="4"/>
      <c r="C6" s="4" t="s">
        <v>34</v>
      </c>
      <c r="D6" s="4" t="s">
        <v>20</v>
      </c>
      <c r="E6" s="4" t="s">
        <v>35</v>
      </c>
      <c r="F6" s="3">
        <v>31</v>
      </c>
      <c r="G6" s="3">
        <v>7</v>
      </c>
      <c r="H6" s="3">
        <v>2025</v>
      </c>
      <c r="I6" s="4" t="s">
        <v>22</v>
      </c>
      <c r="J6" s="4" t="s">
        <v>34</v>
      </c>
      <c r="K6" s="4" t="s">
        <v>36</v>
      </c>
      <c r="L6" s="5" t="s">
        <v>24</v>
      </c>
      <c r="M6" s="3">
        <v>0</v>
      </c>
      <c r="N6" s="3">
        <v>0</v>
      </c>
      <c r="O6" s="3">
        <v>12</v>
      </c>
      <c r="P6" s="4"/>
      <c r="Q6" s="6">
        <f t="shared" si="0"/>
        <v>0</v>
      </c>
      <c r="R6" s="6">
        <f t="shared" si="1"/>
        <v>0</v>
      </c>
      <c r="S6" s="6">
        <f t="shared" si="2"/>
        <v>1</v>
      </c>
    </row>
    <row r="7" spans="1:19" x14ac:dyDescent="0.2">
      <c r="A7" s="4">
        <v>6</v>
      </c>
      <c r="B7" s="4"/>
      <c r="C7" s="4" t="s">
        <v>34</v>
      </c>
      <c r="D7" s="4" t="s">
        <v>20</v>
      </c>
      <c r="E7" s="4" t="s">
        <v>37</v>
      </c>
      <c r="F7" s="3">
        <v>16</v>
      </c>
      <c r="G7" s="3">
        <v>4</v>
      </c>
      <c r="H7" s="3">
        <v>2026</v>
      </c>
      <c r="I7" s="4" t="s">
        <v>22</v>
      </c>
      <c r="J7" s="4" t="s">
        <v>34</v>
      </c>
      <c r="K7" s="4" t="s">
        <v>38</v>
      </c>
      <c r="L7" s="5" t="s">
        <v>24</v>
      </c>
      <c r="M7" s="3">
        <v>41</v>
      </c>
      <c r="N7" s="3">
        <v>85</v>
      </c>
      <c r="O7" s="3">
        <v>0</v>
      </c>
      <c r="P7" s="4"/>
      <c r="Q7" s="6">
        <f t="shared" si="0"/>
        <v>0.32539682539682541</v>
      </c>
      <c r="R7" s="6">
        <f t="shared" si="1"/>
        <v>0.67460317460317465</v>
      </c>
      <c r="S7" s="6">
        <f t="shared" si="2"/>
        <v>0</v>
      </c>
    </row>
    <row r="8" spans="1:19" x14ac:dyDescent="0.2">
      <c r="A8" s="3">
        <v>194982</v>
      </c>
      <c r="B8" s="4" t="s">
        <v>39</v>
      </c>
      <c r="C8" s="4" t="s">
        <v>40</v>
      </c>
      <c r="D8" s="4" t="s">
        <v>41</v>
      </c>
      <c r="E8" s="4" t="s">
        <v>42</v>
      </c>
      <c r="F8" s="3">
        <v>10</v>
      </c>
      <c r="G8" s="3">
        <v>7</v>
      </c>
      <c r="H8" s="3">
        <v>2025</v>
      </c>
      <c r="I8" s="4" t="s">
        <v>22</v>
      </c>
      <c r="J8" s="4" t="s">
        <v>40</v>
      </c>
      <c r="K8" s="4" t="s">
        <v>43</v>
      </c>
      <c r="L8" s="5" t="s">
        <v>24</v>
      </c>
      <c r="M8" s="3">
        <v>0</v>
      </c>
      <c r="N8" s="3">
        <v>0</v>
      </c>
      <c r="O8" s="3">
        <v>9</v>
      </c>
      <c r="P8" s="4"/>
      <c r="Q8" s="6">
        <f t="shared" si="0"/>
        <v>0</v>
      </c>
      <c r="R8" s="6">
        <f t="shared" si="1"/>
        <v>0</v>
      </c>
      <c r="S8" s="6">
        <f t="shared" si="2"/>
        <v>1</v>
      </c>
    </row>
    <row r="9" spans="1:19" x14ac:dyDescent="0.2">
      <c r="A9" s="3">
        <v>186947</v>
      </c>
      <c r="B9" s="4" t="s">
        <v>44</v>
      </c>
      <c r="C9" s="4" t="s">
        <v>19</v>
      </c>
      <c r="D9" s="4" t="s">
        <v>45</v>
      </c>
      <c r="E9" s="4" t="s">
        <v>46</v>
      </c>
      <c r="F9" s="3">
        <v>13</v>
      </c>
      <c r="G9" s="3">
        <v>6</v>
      </c>
      <c r="H9" s="3">
        <v>2019</v>
      </c>
      <c r="I9" s="4" t="s">
        <v>22</v>
      </c>
      <c r="J9" s="4" t="s">
        <v>19</v>
      </c>
      <c r="K9" s="4" t="s">
        <v>47</v>
      </c>
      <c r="L9" s="5" t="s">
        <v>24</v>
      </c>
      <c r="M9" s="3">
        <v>0</v>
      </c>
      <c r="N9" s="3">
        <v>0</v>
      </c>
      <c r="O9" s="3">
        <v>0</v>
      </c>
      <c r="P9" s="4"/>
      <c r="Q9" s="6" t="e">
        <f t="shared" si="0"/>
        <v>#DIV/0!</v>
      </c>
      <c r="R9" s="6" t="e">
        <f t="shared" si="1"/>
        <v>#DIV/0!</v>
      </c>
      <c r="S9" s="6" t="e">
        <f t="shared" si="2"/>
        <v>#DIV/0!</v>
      </c>
    </row>
    <row r="10" spans="1:19" x14ac:dyDescent="0.2">
      <c r="A10" s="3">
        <v>186972</v>
      </c>
      <c r="B10" s="4" t="s">
        <v>48</v>
      </c>
      <c r="C10" s="4" t="s">
        <v>25</v>
      </c>
      <c r="D10" s="4" t="s">
        <v>45</v>
      </c>
      <c r="E10" s="4" t="s">
        <v>49</v>
      </c>
      <c r="F10" s="3">
        <v>13</v>
      </c>
      <c r="G10" s="3">
        <v>6</v>
      </c>
      <c r="H10" s="3">
        <v>2019</v>
      </c>
      <c r="I10" s="4" t="s">
        <v>22</v>
      </c>
      <c r="J10" s="4" t="s">
        <v>25</v>
      </c>
      <c r="K10" s="4" t="s">
        <v>50</v>
      </c>
      <c r="L10" s="5" t="s">
        <v>24</v>
      </c>
      <c r="M10" s="3">
        <v>0</v>
      </c>
      <c r="N10" s="3">
        <v>0</v>
      </c>
      <c r="O10" s="3">
        <v>0</v>
      </c>
      <c r="P10" s="4"/>
      <c r="Q10" s="6" t="e">
        <f t="shared" si="0"/>
        <v>#DIV/0!</v>
      </c>
      <c r="R10" s="6" t="e">
        <f t="shared" si="1"/>
        <v>#DIV/0!</v>
      </c>
      <c r="S10" s="6" t="e">
        <f t="shared" si="2"/>
        <v>#DIV/0!</v>
      </c>
    </row>
    <row r="11" spans="1:19" x14ac:dyDescent="0.2">
      <c r="A11" s="3">
        <v>186563</v>
      </c>
      <c r="B11" s="4" t="s">
        <v>51</v>
      </c>
      <c r="C11" s="4" t="s">
        <v>52</v>
      </c>
      <c r="D11" s="4" t="s">
        <v>53</v>
      </c>
      <c r="E11" s="4" t="s">
        <v>54</v>
      </c>
      <c r="F11" s="3">
        <v>10</v>
      </c>
      <c r="G11" s="3">
        <v>9</v>
      </c>
      <c r="H11" s="3">
        <v>2018</v>
      </c>
      <c r="I11" s="4" t="s">
        <v>22</v>
      </c>
      <c r="J11" s="4" t="s">
        <v>52</v>
      </c>
      <c r="K11" s="4" t="s">
        <v>55</v>
      </c>
      <c r="L11" s="5" t="s">
        <v>24</v>
      </c>
      <c r="M11" s="3">
        <v>0</v>
      </c>
      <c r="N11" s="3">
        <v>0</v>
      </c>
      <c r="O11" s="3">
        <v>6</v>
      </c>
      <c r="P11" s="4"/>
      <c r="Q11" s="6">
        <f t="shared" si="0"/>
        <v>0</v>
      </c>
      <c r="R11" s="6">
        <f t="shared" si="1"/>
        <v>0</v>
      </c>
      <c r="S11" s="6">
        <f t="shared" si="2"/>
        <v>1</v>
      </c>
    </row>
    <row r="12" spans="1:19" x14ac:dyDescent="0.2">
      <c r="A12" s="3">
        <v>190656</v>
      </c>
      <c r="B12" s="4" t="s">
        <v>56</v>
      </c>
      <c r="C12" s="4" t="s">
        <v>52</v>
      </c>
      <c r="D12" s="4" t="s">
        <v>20</v>
      </c>
      <c r="E12" s="4" t="s">
        <v>57</v>
      </c>
      <c r="F12" s="3">
        <v>20</v>
      </c>
      <c r="G12" s="3">
        <v>4</v>
      </c>
      <c r="H12" s="3">
        <v>2023</v>
      </c>
      <c r="I12" s="4" t="s">
        <v>22</v>
      </c>
      <c r="J12" s="4" t="s">
        <v>52</v>
      </c>
      <c r="K12" s="4" t="s">
        <v>58</v>
      </c>
      <c r="L12" s="5" t="s">
        <v>24</v>
      </c>
      <c r="M12" s="3">
        <v>96</v>
      </c>
      <c r="N12" s="3">
        <v>45</v>
      </c>
      <c r="O12" s="3">
        <v>0</v>
      </c>
      <c r="P12" s="4"/>
      <c r="Q12" s="6">
        <f t="shared" si="0"/>
        <v>0.68085106382978722</v>
      </c>
      <c r="R12" s="6">
        <f t="shared" si="1"/>
        <v>0.31914893617021278</v>
      </c>
      <c r="S12" s="6">
        <f t="shared" si="2"/>
        <v>0</v>
      </c>
    </row>
    <row r="13" spans="1:19" x14ac:dyDescent="0.2">
      <c r="A13" s="3">
        <v>172622</v>
      </c>
      <c r="B13" s="4" t="s">
        <v>59</v>
      </c>
      <c r="C13" s="4" t="s">
        <v>60</v>
      </c>
      <c r="D13" s="4" t="s">
        <v>61</v>
      </c>
      <c r="E13" s="4" t="s">
        <v>62</v>
      </c>
      <c r="F13" s="3">
        <v>4</v>
      </c>
      <c r="G13" s="3">
        <v>5</v>
      </c>
      <c r="H13" s="3">
        <v>2011</v>
      </c>
      <c r="I13" s="4" t="s">
        <v>22</v>
      </c>
      <c r="J13" s="4" t="s">
        <v>60</v>
      </c>
      <c r="K13" s="4" t="s">
        <v>63</v>
      </c>
      <c r="L13" s="5" t="s">
        <v>24</v>
      </c>
      <c r="M13" s="3">
        <v>92</v>
      </c>
      <c r="N13" s="3">
        <v>14</v>
      </c>
      <c r="O13" s="3">
        <v>0</v>
      </c>
      <c r="P13" s="4"/>
      <c r="Q13" s="6">
        <f t="shared" si="0"/>
        <v>0.86792452830188682</v>
      </c>
      <c r="R13" s="6">
        <f t="shared" si="1"/>
        <v>0.13207547169811321</v>
      </c>
      <c r="S13" s="6">
        <f t="shared" si="2"/>
        <v>0</v>
      </c>
    </row>
    <row r="14" spans="1:19" x14ac:dyDescent="0.2">
      <c r="A14" s="3">
        <v>184882</v>
      </c>
      <c r="B14" s="4" t="s">
        <v>64</v>
      </c>
      <c r="C14" s="4" t="s">
        <v>65</v>
      </c>
      <c r="D14" s="4" t="s">
        <v>53</v>
      </c>
      <c r="E14" s="4" t="s">
        <v>66</v>
      </c>
      <c r="F14" s="3">
        <v>18</v>
      </c>
      <c r="G14" s="3">
        <v>9</v>
      </c>
      <c r="H14" s="3">
        <v>2017</v>
      </c>
      <c r="I14" s="4" t="s">
        <v>22</v>
      </c>
      <c r="J14" s="4" t="s">
        <v>65</v>
      </c>
      <c r="K14" s="4" t="s">
        <v>67</v>
      </c>
      <c r="L14" s="5" t="s">
        <v>24</v>
      </c>
      <c r="M14" s="3">
        <v>0</v>
      </c>
      <c r="N14" s="3">
        <v>0</v>
      </c>
      <c r="O14" s="3">
        <v>3</v>
      </c>
      <c r="P14" s="4"/>
      <c r="Q14" s="6">
        <f t="shared" si="0"/>
        <v>0</v>
      </c>
      <c r="R14" s="6">
        <f t="shared" si="1"/>
        <v>0</v>
      </c>
      <c r="S14" s="6">
        <f t="shared" si="2"/>
        <v>1</v>
      </c>
    </row>
    <row r="15" spans="1:19" x14ac:dyDescent="0.2">
      <c r="A15" s="3">
        <v>191209</v>
      </c>
      <c r="B15" s="4" t="s">
        <v>68</v>
      </c>
      <c r="C15" s="4" t="s">
        <v>69</v>
      </c>
      <c r="D15" s="4" t="s">
        <v>53</v>
      </c>
      <c r="E15" s="4" t="s">
        <v>70</v>
      </c>
      <c r="F15" s="3">
        <v>11</v>
      </c>
      <c r="G15" s="3">
        <v>5</v>
      </c>
      <c r="H15" s="3">
        <v>2023</v>
      </c>
      <c r="I15" s="4" t="s">
        <v>22</v>
      </c>
      <c r="J15" s="4" t="s">
        <v>69</v>
      </c>
      <c r="K15" s="4" t="s">
        <v>71</v>
      </c>
      <c r="L15" s="5" t="s">
        <v>24</v>
      </c>
      <c r="M15" s="3">
        <v>0</v>
      </c>
      <c r="N15" s="3">
        <v>34</v>
      </c>
      <c r="O15" s="3">
        <v>0</v>
      </c>
      <c r="P15" s="4"/>
      <c r="Q15" s="6">
        <f t="shared" si="0"/>
        <v>0</v>
      </c>
      <c r="R15" s="6">
        <f t="shared" si="1"/>
        <v>1</v>
      </c>
      <c r="S15" s="6">
        <f t="shared" si="2"/>
        <v>0</v>
      </c>
    </row>
    <row r="16" spans="1:19" x14ac:dyDescent="0.2">
      <c r="A16" s="3">
        <v>74542</v>
      </c>
      <c r="B16" s="4" t="s">
        <v>72</v>
      </c>
      <c r="C16" s="4" t="s">
        <v>73</v>
      </c>
      <c r="D16" s="4" t="s">
        <v>74</v>
      </c>
      <c r="E16" s="4" t="s">
        <v>75</v>
      </c>
      <c r="F16" s="3">
        <v>12</v>
      </c>
      <c r="G16" s="3">
        <v>5</v>
      </c>
      <c r="H16" s="3">
        <v>1988</v>
      </c>
      <c r="I16" s="4" t="s">
        <v>22</v>
      </c>
      <c r="J16" s="4" t="s">
        <v>73</v>
      </c>
      <c r="K16" s="4" t="s">
        <v>76</v>
      </c>
      <c r="L16" s="5" t="s">
        <v>24</v>
      </c>
      <c r="M16" s="3">
        <v>1</v>
      </c>
      <c r="N16" s="3">
        <v>209</v>
      </c>
      <c r="O16" s="3">
        <v>1</v>
      </c>
      <c r="P16" s="4"/>
      <c r="Q16" s="6">
        <f t="shared" si="0"/>
        <v>4.7393364928909956E-3</v>
      </c>
      <c r="R16" s="6">
        <f t="shared" si="1"/>
        <v>0.99052132701421802</v>
      </c>
      <c r="S16" s="6">
        <f t="shared" si="2"/>
        <v>4.7393364928909956E-3</v>
      </c>
    </row>
    <row r="17" spans="1:19" x14ac:dyDescent="0.2">
      <c r="A17" s="3">
        <v>86350</v>
      </c>
      <c r="B17" s="4" t="s">
        <v>77</v>
      </c>
      <c r="C17" s="4" t="s">
        <v>73</v>
      </c>
      <c r="D17" s="4" t="s">
        <v>78</v>
      </c>
      <c r="E17" s="4" t="s">
        <v>79</v>
      </c>
      <c r="F17" s="3">
        <v>10</v>
      </c>
      <c r="G17" s="3">
        <v>5</v>
      </c>
      <c r="H17" s="3">
        <v>1989</v>
      </c>
      <c r="I17" s="4" t="s">
        <v>22</v>
      </c>
      <c r="J17" s="4" t="s">
        <v>73</v>
      </c>
      <c r="K17" s="4" t="s">
        <v>80</v>
      </c>
      <c r="L17" s="5" t="s">
        <v>24</v>
      </c>
      <c r="M17" s="3">
        <v>60</v>
      </c>
      <c r="N17" s="3">
        <v>54</v>
      </c>
      <c r="O17" s="4"/>
      <c r="P17" s="4"/>
      <c r="Q17" s="6">
        <f t="shared" si="0"/>
        <v>0.52631578947368418</v>
      </c>
      <c r="R17" s="6">
        <f t="shared" si="1"/>
        <v>0.47368421052631576</v>
      </c>
      <c r="S17" s="6">
        <f t="shared" si="2"/>
        <v>0</v>
      </c>
    </row>
    <row r="18" spans="1:19" x14ac:dyDescent="0.2">
      <c r="A18" s="3">
        <v>86366</v>
      </c>
      <c r="B18" s="4" t="s">
        <v>81</v>
      </c>
      <c r="C18" s="4" t="s">
        <v>73</v>
      </c>
      <c r="D18" s="4" t="s">
        <v>78</v>
      </c>
      <c r="E18" s="4" t="s">
        <v>82</v>
      </c>
      <c r="F18" s="3">
        <v>10</v>
      </c>
      <c r="G18" s="3">
        <v>5</v>
      </c>
      <c r="H18" s="3">
        <v>1989</v>
      </c>
      <c r="I18" s="4" t="s">
        <v>22</v>
      </c>
      <c r="J18" s="4" t="s">
        <v>73</v>
      </c>
      <c r="K18" s="4" t="s">
        <v>83</v>
      </c>
      <c r="L18" s="5" t="s">
        <v>24</v>
      </c>
      <c r="M18" s="3">
        <v>48</v>
      </c>
      <c r="N18" s="3">
        <v>74</v>
      </c>
      <c r="O18" s="3">
        <v>0</v>
      </c>
      <c r="P18" s="4"/>
      <c r="Q18" s="6">
        <f t="shared" si="0"/>
        <v>0.39344262295081966</v>
      </c>
      <c r="R18" s="6">
        <f t="shared" si="1"/>
        <v>0.60655737704918034</v>
      </c>
      <c r="S18" s="6">
        <f t="shared" si="2"/>
        <v>0</v>
      </c>
    </row>
    <row r="19" spans="1:19" x14ac:dyDescent="0.2">
      <c r="A19" s="3">
        <v>13947</v>
      </c>
      <c r="B19" s="4" t="s">
        <v>84</v>
      </c>
      <c r="C19" s="4" t="s">
        <v>73</v>
      </c>
      <c r="D19" s="4" t="s">
        <v>85</v>
      </c>
      <c r="E19" s="4" t="s">
        <v>86</v>
      </c>
      <c r="F19" s="3">
        <v>1</v>
      </c>
      <c r="G19" s="3">
        <v>5</v>
      </c>
      <c r="H19" s="3">
        <v>1970</v>
      </c>
      <c r="I19" s="4" t="s">
        <v>22</v>
      </c>
      <c r="J19" s="4" t="s">
        <v>73</v>
      </c>
      <c r="K19" s="4" t="s">
        <v>87</v>
      </c>
      <c r="L19" s="5" t="s">
        <v>24</v>
      </c>
      <c r="M19" s="3">
        <v>82</v>
      </c>
      <c r="N19" s="3">
        <v>0</v>
      </c>
      <c r="O19" s="3">
        <v>0</v>
      </c>
      <c r="P19" s="4"/>
      <c r="Q19" s="6">
        <f t="shared" si="0"/>
        <v>1</v>
      </c>
      <c r="R19" s="6">
        <f t="shared" si="1"/>
        <v>0</v>
      </c>
      <c r="S19" s="6">
        <f t="shared" si="2"/>
        <v>0</v>
      </c>
    </row>
    <row r="20" spans="1:19" x14ac:dyDescent="0.2">
      <c r="A20" s="3">
        <v>86355</v>
      </c>
      <c r="B20" s="4" t="s">
        <v>88</v>
      </c>
      <c r="C20" s="4" t="s">
        <v>73</v>
      </c>
      <c r="D20" s="4" t="s">
        <v>78</v>
      </c>
      <c r="E20" s="4" t="s">
        <v>89</v>
      </c>
      <c r="F20" s="3">
        <v>10</v>
      </c>
      <c r="G20" s="3">
        <v>5</v>
      </c>
      <c r="H20" s="3">
        <v>1989</v>
      </c>
      <c r="I20" s="4" t="s">
        <v>22</v>
      </c>
      <c r="J20" s="4" t="s">
        <v>73</v>
      </c>
      <c r="K20" s="4" t="s">
        <v>90</v>
      </c>
      <c r="L20" s="5" t="s">
        <v>24</v>
      </c>
      <c r="M20" s="3">
        <v>23</v>
      </c>
      <c r="N20" s="3">
        <v>112</v>
      </c>
      <c r="O20" s="3">
        <v>0</v>
      </c>
      <c r="P20" s="4"/>
      <c r="Q20" s="6">
        <f t="shared" si="0"/>
        <v>0.17037037037037037</v>
      </c>
      <c r="R20" s="6">
        <f t="shared" si="1"/>
        <v>0.82962962962962961</v>
      </c>
      <c r="S20" s="6">
        <f t="shared" si="2"/>
        <v>0</v>
      </c>
    </row>
    <row r="21" spans="1:19" x14ac:dyDescent="0.2">
      <c r="A21" s="3">
        <v>189559</v>
      </c>
      <c r="B21" s="4" t="s">
        <v>91</v>
      </c>
      <c r="C21" s="4" t="s">
        <v>31</v>
      </c>
      <c r="D21" s="4" t="s">
        <v>45</v>
      </c>
      <c r="E21" s="4" t="s">
        <v>92</v>
      </c>
      <c r="F21" s="3">
        <v>18</v>
      </c>
      <c r="G21" s="3">
        <v>8</v>
      </c>
      <c r="H21" s="3">
        <v>2022</v>
      </c>
      <c r="I21" s="4" t="s">
        <v>22</v>
      </c>
      <c r="J21" s="4" t="s">
        <v>31</v>
      </c>
      <c r="K21" s="4" t="s">
        <v>93</v>
      </c>
      <c r="L21" s="5" t="s">
        <v>24</v>
      </c>
      <c r="M21" s="3">
        <v>0</v>
      </c>
      <c r="N21" s="3">
        <v>0</v>
      </c>
      <c r="O21" s="3">
        <v>0</v>
      </c>
      <c r="P21" s="4"/>
      <c r="Q21" s="6" t="e">
        <f t="shared" si="0"/>
        <v>#DIV/0!</v>
      </c>
      <c r="R21" s="6" t="e">
        <f t="shared" si="1"/>
        <v>#DIV/0!</v>
      </c>
      <c r="S21" s="6" t="e">
        <f t="shared" si="2"/>
        <v>#DIV/0!</v>
      </c>
    </row>
    <row r="22" spans="1:19" x14ac:dyDescent="0.2">
      <c r="A22" s="3">
        <v>13950</v>
      </c>
      <c r="B22" s="4" t="s">
        <v>94</v>
      </c>
      <c r="C22" s="4" t="s">
        <v>95</v>
      </c>
      <c r="D22" s="4" t="s">
        <v>96</v>
      </c>
      <c r="E22" s="4" t="s">
        <v>86</v>
      </c>
      <c r="F22" s="3">
        <v>28</v>
      </c>
      <c r="G22" s="3">
        <v>7</v>
      </c>
      <c r="H22" s="3">
        <v>1971</v>
      </c>
      <c r="I22" s="4" t="s">
        <v>22</v>
      </c>
      <c r="J22" s="4" t="s">
        <v>95</v>
      </c>
      <c r="K22" s="4" t="s">
        <v>97</v>
      </c>
      <c r="L22" s="5" t="s">
        <v>24</v>
      </c>
      <c r="M22" s="3">
        <v>0</v>
      </c>
      <c r="N22" s="3">
        <v>0</v>
      </c>
      <c r="O22" s="3">
        <v>5</v>
      </c>
      <c r="P22" s="4"/>
      <c r="Q22" s="6">
        <f t="shared" si="0"/>
        <v>0</v>
      </c>
      <c r="R22" s="6">
        <f t="shared" si="1"/>
        <v>0</v>
      </c>
      <c r="S22" s="6">
        <f t="shared" si="2"/>
        <v>1</v>
      </c>
    </row>
    <row r="23" spans="1:19" x14ac:dyDescent="0.2">
      <c r="A23" s="3">
        <v>13951</v>
      </c>
      <c r="B23" s="4" t="s">
        <v>98</v>
      </c>
      <c r="C23" s="4" t="s">
        <v>95</v>
      </c>
      <c r="D23" s="4" t="s">
        <v>96</v>
      </c>
      <c r="E23" s="4" t="s">
        <v>86</v>
      </c>
      <c r="F23" s="3">
        <v>18</v>
      </c>
      <c r="G23" s="3">
        <v>5</v>
      </c>
      <c r="H23" s="3">
        <v>1971</v>
      </c>
      <c r="I23" s="4" t="s">
        <v>22</v>
      </c>
      <c r="J23" s="4" t="s">
        <v>95</v>
      </c>
      <c r="K23" s="4" t="s">
        <v>97</v>
      </c>
      <c r="L23" s="5" t="s">
        <v>24</v>
      </c>
      <c r="M23" s="3">
        <v>0</v>
      </c>
      <c r="N23" s="3">
        <v>155</v>
      </c>
      <c r="O23" s="3">
        <v>0</v>
      </c>
      <c r="P23" s="4"/>
      <c r="Q23" s="6">
        <f t="shared" si="0"/>
        <v>0</v>
      </c>
      <c r="R23" s="6">
        <f t="shared" si="1"/>
        <v>1</v>
      </c>
      <c r="S23" s="6">
        <f t="shared" si="2"/>
        <v>0</v>
      </c>
    </row>
    <row r="24" spans="1:19" x14ac:dyDescent="0.2">
      <c r="A24" s="3">
        <v>65250</v>
      </c>
      <c r="B24" s="4" t="s">
        <v>99</v>
      </c>
      <c r="C24" s="4" t="s">
        <v>95</v>
      </c>
      <c r="D24" s="4" t="s">
        <v>100</v>
      </c>
      <c r="E24" s="4" t="s">
        <v>101</v>
      </c>
      <c r="F24" s="3">
        <v>28</v>
      </c>
      <c r="G24" s="3">
        <v>4</v>
      </c>
      <c r="H24" s="3">
        <v>1987</v>
      </c>
      <c r="I24" s="4" t="s">
        <v>22</v>
      </c>
      <c r="J24" s="4" t="s">
        <v>95</v>
      </c>
      <c r="K24" s="4" t="s">
        <v>102</v>
      </c>
      <c r="L24" s="5" t="s">
        <v>24</v>
      </c>
      <c r="M24" s="3">
        <v>108</v>
      </c>
      <c r="N24" s="3">
        <v>8</v>
      </c>
      <c r="O24" s="3">
        <v>0</v>
      </c>
      <c r="P24" s="4"/>
      <c r="Q24" s="6">
        <f t="shared" si="0"/>
        <v>0.93103448275862066</v>
      </c>
      <c r="R24" s="6">
        <f t="shared" si="1"/>
        <v>6.8965517241379309E-2</v>
      </c>
      <c r="S24" s="6">
        <f t="shared" si="2"/>
        <v>0</v>
      </c>
    </row>
    <row r="25" spans="1:19" x14ac:dyDescent="0.2">
      <c r="A25" s="3">
        <v>142720</v>
      </c>
      <c r="B25" s="4" t="s">
        <v>103</v>
      </c>
      <c r="C25" s="4" t="s">
        <v>104</v>
      </c>
      <c r="D25" s="4" t="s">
        <v>105</v>
      </c>
      <c r="E25" s="4" t="s">
        <v>106</v>
      </c>
      <c r="F25" s="3">
        <v>15</v>
      </c>
      <c r="G25" s="3">
        <v>6</v>
      </c>
      <c r="H25" s="3">
        <v>1998</v>
      </c>
      <c r="I25" s="4" t="s">
        <v>22</v>
      </c>
      <c r="J25" s="4" t="s">
        <v>104</v>
      </c>
      <c r="K25" s="4" t="s">
        <v>107</v>
      </c>
      <c r="L25" s="5" t="s">
        <v>24</v>
      </c>
      <c r="M25" s="3">
        <v>0</v>
      </c>
      <c r="N25" s="3">
        <v>0</v>
      </c>
      <c r="O25" s="3">
        <v>0</v>
      </c>
      <c r="P25" s="4"/>
      <c r="Q25" s="6" t="e">
        <f t="shared" si="0"/>
        <v>#DIV/0!</v>
      </c>
      <c r="R25" s="6" t="e">
        <f t="shared" si="1"/>
        <v>#DIV/0!</v>
      </c>
      <c r="S25" s="6" t="e">
        <f t="shared" si="2"/>
        <v>#DIV/0!</v>
      </c>
    </row>
    <row r="26" spans="1:19" x14ac:dyDescent="0.2">
      <c r="A26" s="3">
        <v>99518</v>
      </c>
      <c r="B26" s="4" t="s">
        <v>108</v>
      </c>
      <c r="C26" s="4" t="s">
        <v>104</v>
      </c>
      <c r="D26" s="4" t="s">
        <v>109</v>
      </c>
      <c r="E26" s="4" t="s">
        <v>110</v>
      </c>
      <c r="F26" s="3">
        <v>8</v>
      </c>
      <c r="G26" s="3">
        <v>10</v>
      </c>
      <c r="H26" s="3">
        <v>1991</v>
      </c>
      <c r="I26" s="4" t="s">
        <v>22</v>
      </c>
      <c r="J26" s="4" t="s">
        <v>104</v>
      </c>
      <c r="K26" s="4" t="s">
        <v>111</v>
      </c>
      <c r="L26" s="5" t="s">
        <v>24</v>
      </c>
      <c r="M26" s="3">
        <v>0</v>
      </c>
      <c r="N26" s="3">
        <v>0</v>
      </c>
      <c r="O26" s="3">
        <v>4</v>
      </c>
      <c r="P26" s="4"/>
      <c r="Q26" s="6">
        <f t="shared" si="0"/>
        <v>0</v>
      </c>
      <c r="R26" s="6">
        <f t="shared" si="1"/>
        <v>0</v>
      </c>
      <c r="S26" s="6">
        <f t="shared" si="2"/>
        <v>1</v>
      </c>
    </row>
    <row r="27" spans="1:19" x14ac:dyDescent="0.2">
      <c r="A27" s="3">
        <v>136087</v>
      </c>
      <c r="B27" s="4" t="s">
        <v>112</v>
      </c>
      <c r="C27" s="4" t="s">
        <v>104</v>
      </c>
      <c r="D27" s="4" t="s">
        <v>113</v>
      </c>
      <c r="E27" s="4" t="s">
        <v>114</v>
      </c>
      <c r="F27" s="3">
        <v>21</v>
      </c>
      <c r="G27" s="3">
        <v>5</v>
      </c>
      <c r="H27" s="3">
        <v>1997</v>
      </c>
      <c r="I27" s="4" t="s">
        <v>22</v>
      </c>
      <c r="J27" s="4" t="s">
        <v>104</v>
      </c>
      <c r="K27" s="4" t="s">
        <v>115</v>
      </c>
      <c r="L27" s="5" t="s">
        <v>24</v>
      </c>
      <c r="M27" s="3">
        <v>17</v>
      </c>
      <c r="N27" s="3">
        <v>23</v>
      </c>
      <c r="O27" s="3">
        <v>0</v>
      </c>
      <c r="P27" s="4"/>
      <c r="Q27" s="6">
        <f t="shared" si="0"/>
        <v>0.42499999999999999</v>
      </c>
      <c r="R27" s="6">
        <f t="shared" si="1"/>
        <v>0.57499999999999996</v>
      </c>
      <c r="S27" s="6">
        <f t="shared" si="2"/>
        <v>0</v>
      </c>
    </row>
    <row r="28" spans="1:19" x14ac:dyDescent="0.2">
      <c r="A28" s="3">
        <v>135771</v>
      </c>
      <c r="B28" s="4" t="s">
        <v>116</v>
      </c>
      <c r="C28" s="4" t="s">
        <v>104</v>
      </c>
      <c r="D28" s="4" t="s">
        <v>113</v>
      </c>
      <c r="E28" s="4" t="s">
        <v>117</v>
      </c>
      <c r="F28" s="3">
        <v>21</v>
      </c>
      <c r="G28" s="3">
        <v>5</v>
      </c>
      <c r="H28" s="3">
        <v>1997</v>
      </c>
      <c r="I28" s="4" t="s">
        <v>22</v>
      </c>
      <c r="J28" s="4" t="s">
        <v>104</v>
      </c>
      <c r="K28" s="4" t="s">
        <v>118</v>
      </c>
      <c r="L28" s="5" t="s">
        <v>24</v>
      </c>
      <c r="M28" s="3">
        <v>5</v>
      </c>
      <c r="N28" s="3">
        <v>19</v>
      </c>
      <c r="O28" s="3">
        <v>0</v>
      </c>
      <c r="P28" s="4"/>
      <c r="Q28" s="6">
        <f t="shared" si="0"/>
        <v>0.20833333333333334</v>
      </c>
      <c r="R28" s="6">
        <f t="shared" si="1"/>
        <v>0.79166666666666663</v>
      </c>
      <c r="S28" s="6">
        <f t="shared" si="2"/>
        <v>0</v>
      </c>
    </row>
    <row r="29" spans="1:19" x14ac:dyDescent="0.2">
      <c r="A29" s="3">
        <v>154147</v>
      </c>
      <c r="B29" s="4" t="s">
        <v>119</v>
      </c>
      <c r="C29" s="4" t="s">
        <v>104</v>
      </c>
      <c r="D29" s="4" t="s">
        <v>109</v>
      </c>
      <c r="E29" s="4" t="s">
        <v>120</v>
      </c>
      <c r="F29" s="3">
        <v>17</v>
      </c>
      <c r="G29" s="3">
        <v>7</v>
      </c>
      <c r="H29" s="3">
        <v>2001</v>
      </c>
      <c r="I29" s="4" t="s">
        <v>22</v>
      </c>
      <c r="J29" s="4" t="s">
        <v>104</v>
      </c>
      <c r="K29" s="4" t="s">
        <v>121</v>
      </c>
      <c r="L29" s="5" t="s">
        <v>24</v>
      </c>
      <c r="M29" s="3">
        <v>0</v>
      </c>
      <c r="N29" s="3">
        <v>0</v>
      </c>
      <c r="O29" s="3">
        <v>4</v>
      </c>
      <c r="P29" s="4"/>
      <c r="Q29" s="6">
        <f t="shared" si="0"/>
        <v>0</v>
      </c>
      <c r="R29" s="6">
        <f t="shared" si="1"/>
        <v>0</v>
      </c>
      <c r="S29" s="6">
        <f t="shared" si="2"/>
        <v>1</v>
      </c>
    </row>
    <row r="30" spans="1:19" x14ac:dyDescent="0.2">
      <c r="A30" s="3">
        <v>159877</v>
      </c>
      <c r="B30" s="4" t="s">
        <v>122</v>
      </c>
      <c r="C30" s="4" t="s">
        <v>123</v>
      </c>
      <c r="D30" s="4" t="s">
        <v>124</v>
      </c>
      <c r="E30" s="4" t="s">
        <v>125</v>
      </c>
      <c r="F30" s="3">
        <v>26</v>
      </c>
      <c r="G30" s="3">
        <v>4</v>
      </c>
      <c r="H30" s="3">
        <v>2006</v>
      </c>
      <c r="I30" s="4" t="s">
        <v>22</v>
      </c>
      <c r="J30" s="4" t="s">
        <v>123</v>
      </c>
      <c r="K30" s="4" t="s">
        <v>126</v>
      </c>
      <c r="L30" s="5" t="s">
        <v>24</v>
      </c>
      <c r="M30" s="3">
        <v>4</v>
      </c>
      <c r="N30" s="3">
        <v>213</v>
      </c>
      <c r="O30" s="3">
        <v>0</v>
      </c>
      <c r="P30" s="4"/>
      <c r="Q30" s="6">
        <f t="shared" si="0"/>
        <v>1.8433179723502304E-2</v>
      </c>
      <c r="R30" s="6">
        <f t="shared" si="1"/>
        <v>0.98156682027649766</v>
      </c>
      <c r="S30" s="6">
        <f t="shared" si="2"/>
        <v>0</v>
      </c>
    </row>
    <row r="31" spans="1:19" x14ac:dyDescent="0.2">
      <c r="A31" s="3">
        <v>168248</v>
      </c>
      <c r="B31" s="4" t="s">
        <v>127</v>
      </c>
      <c r="C31" s="4" t="s">
        <v>123</v>
      </c>
      <c r="D31" s="4" t="s">
        <v>128</v>
      </c>
      <c r="E31" s="4" t="s">
        <v>129</v>
      </c>
      <c r="F31" s="3">
        <v>14</v>
      </c>
      <c r="G31" s="3">
        <v>5</v>
      </c>
      <c r="H31" s="3">
        <v>2009</v>
      </c>
      <c r="I31" s="4" t="s">
        <v>22</v>
      </c>
      <c r="J31" s="4" t="s">
        <v>123</v>
      </c>
      <c r="K31" s="4" t="s">
        <v>130</v>
      </c>
      <c r="L31" s="5" t="s">
        <v>24</v>
      </c>
      <c r="M31" s="3">
        <v>3</v>
      </c>
      <c r="N31" s="3">
        <v>22</v>
      </c>
      <c r="O31" s="3">
        <v>0</v>
      </c>
      <c r="P31" s="7"/>
      <c r="Q31" s="6">
        <f t="shared" si="0"/>
        <v>0.12</v>
      </c>
      <c r="R31" s="6">
        <f t="shared" si="1"/>
        <v>0.88</v>
      </c>
      <c r="S31" s="6">
        <f t="shared" si="2"/>
        <v>0</v>
      </c>
    </row>
    <row r="32" spans="1:19" x14ac:dyDescent="0.2">
      <c r="A32" s="3">
        <v>172694</v>
      </c>
      <c r="B32" s="4" t="s">
        <v>131</v>
      </c>
      <c r="C32" s="4" t="s">
        <v>132</v>
      </c>
      <c r="D32" s="4" t="s">
        <v>133</v>
      </c>
      <c r="E32" s="4" t="s">
        <v>134</v>
      </c>
      <c r="F32" s="3">
        <v>11</v>
      </c>
      <c r="G32" s="3">
        <v>5</v>
      </c>
      <c r="H32" s="3">
        <v>2011</v>
      </c>
      <c r="I32" s="4" t="s">
        <v>22</v>
      </c>
      <c r="J32" s="4" t="s">
        <v>132</v>
      </c>
      <c r="K32" s="4" t="s">
        <v>135</v>
      </c>
      <c r="L32" s="5" t="s">
        <v>24</v>
      </c>
      <c r="M32" s="3">
        <v>0</v>
      </c>
      <c r="N32" s="3">
        <v>28</v>
      </c>
      <c r="O32" s="3">
        <v>0</v>
      </c>
      <c r="P32" s="4"/>
      <c r="Q32" s="6">
        <f t="shared" si="0"/>
        <v>0</v>
      </c>
      <c r="R32" s="6">
        <f t="shared" si="1"/>
        <v>1</v>
      </c>
      <c r="S32" s="6">
        <f t="shared" si="2"/>
        <v>0</v>
      </c>
    </row>
    <row r="33" spans="1:19" x14ac:dyDescent="0.2">
      <c r="A33" s="3">
        <v>182600</v>
      </c>
      <c r="B33" s="4" t="s">
        <v>136</v>
      </c>
      <c r="C33" s="4" t="s">
        <v>132</v>
      </c>
      <c r="D33" s="4" t="s">
        <v>137</v>
      </c>
      <c r="E33" s="4" t="s">
        <v>138</v>
      </c>
      <c r="F33" s="3">
        <v>4</v>
      </c>
      <c r="G33" s="3">
        <v>5</v>
      </c>
      <c r="H33" s="3">
        <v>2016</v>
      </c>
      <c r="I33" s="4" t="s">
        <v>22</v>
      </c>
      <c r="J33" s="4" t="s">
        <v>132</v>
      </c>
      <c r="K33" s="4" t="s">
        <v>139</v>
      </c>
      <c r="L33" s="5" t="s">
        <v>24</v>
      </c>
      <c r="M33" s="3">
        <v>1</v>
      </c>
      <c r="N33" s="3">
        <v>110</v>
      </c>
      <c r="O33" s="3">
        <v>0</v>
      </c>
      <c r="P33" s="4"/>
      <c r="Q33" s="6">
        <f t="shared" si="0"/>
        <v>9.0090090090090089E-3</v>
      </c>
      <c r="R33" s="6">
        <f t="shared" si="1"/>
        <v>0.99099099099099097</v>
      </c>
      <c r="S33" s="6">
        <f t="shared" si="2"/>
        <v>0</v>
      </c>
    </row>
    <row r="34" spans="1:19" x14ac:dyDescent="0.2">
      <c r="A34" s="3">
        <v>173564</v>
      </c>
      <c r="B34" s="4" t="s">
        <v>140</v>
      </c>
      <c r="C34" s="4" t="s">
        <v>132</v>
      </c>
      <c r="D34" s="4" t="s">
        <v>141</v>
      </c>
      <c r="E34" s="4" t="s">
        <v>142</v>
      </c>
      <c r="F34" s="3">
        <v>11</v>
      </c>
      <c r="G34" s="3">
        <v>4</v>
      </c>
      <c r="H34" s="3">
        <v>2012</v>
      </c>
      <c r="I34" s="4" t="s">
        <v>22</v>
      </c>
      <c r="J34" s="4" t="s">
        <v>132</v>
      </c>
      <c r="K34" s="4" t="s">
        <v>135</v>
      </c>
      <c r="L34" s="5" t="s">
        <v>24</v>
      </c>
      <c r="M34" s="3">
        <v>1</v>
      </c>
      <c r="N34" s="3">
        <v>85</v>
      </c>
      <c r="O34" s="3">
        <v>0</v>
      </c>
      <c r="P34" s="4"/>
      <c r="Q34" s="6">
        <f t="shared" si="0"/>
        <v>1.1627906976744186E-2</v>
      </c>
      <c r="R34" s="6">
        <f t="shared" si="1"/>
        <v>0.98837209302325579</v>
      </c>
      <c r="S34" s="6">
        <f t="shared" si="2"/>
        <v>0</v>
      </c>
    </row>
    <row r="35" spans="1:19" x14ac:dyDescent="0.2">
      <c r="A35" s="3">
        <v>13942</v>
      </c>
      <c r="B35" s="4" t="s">
        <v>143</v>
      </c>
      <c r="C35" s="4" t="s">
        <v>144</v>
      </c>
      <c r="D35" s="4" t="s">
        <v>145</v>
      </c>
      <c r="E35" s="4" t="s">
        <v>86</v>
      </c>
      <c r="F35" s="3">
        <v>9</v>
      </c>
      <c r="G35" s="3">
        <v>5</v>
      </c>
      <c r="H35" s="3">
        <v>1939</v>
      </c>
      <c r="I35" s="4" t="s">
        <v>22</v>
      </c>
      <c r="J35" s="4" t="s">
        <v>144</v>
      </c>
      <c r="K35" s="4"/>
      <c r="L35" s="5" t="s">
        <v>24</v>
      </c>
      <c r="M35" s="3">
        <v>39</v>
      </c>
      <c r="N35" s="3">
        <v>100</v>
      </c>
      <c r="O35" s="3">
        <v>0</v>
      </c>
      <c r="P35" s="4"/>
      <c r="Q35" s="6">
        <f t="shared" si="0"/>
        <v>0.2805755395683453</v>
      </c>
      <c r="R35" s="6">
        <f t="shared" si="1"/>
        <v>0.71942446043165464</v>
      </c>
      <c r="S35" s="6">
        <f t="shared" si="2"/>
        <v>0</v>
      </c>
    </row>
    <row r="36" spans="1:19" x14ac:dyDescent="0.2">
      <c r="A36" s="3">
        <v>13944</v>
      </c>
      <c r="B36" s="4" t="s">
        <v>146</v>
      </c>
      <c r="C36" s="4" t="s">
        <v>144</v>
      </c>
      <c r="D36" s="4" t="s">
        <v>147</v>
      </c>
      <c r="E36" s="3">
        <v>808</v>
      </c>
      <c r="F36" s="3">
        <v>12</v>
      </c>
      <c r="G36" s="3">
        <v>8</v>
      </c>
      <c r="H36" s="3">
        <v>1970</v>
      </c>
      <c r="I36" s="4" t="s">
        <v>22</v>
      </c>
      <c r="J36" s="4" t="s">
        <v>144</v>
      </c>
      <c r="K36" s="4" t="s">
        <v>148</v>
      </c>
      <c r="L36" s="5" t="s">
        <v>24</v>
      </c>
      <c r="M36" s="3">
        <v>0</v>
      </c>
      <c r="N36" s="3">
        <v>0</v>
      </c>
      <c r="O36" s="3">
        <v>2</v>
      </c>
      <c r="P36" s="4"/>
      <c r="Q36" s="6">
        <f t="shared" si="0"/>
        <v>0</v>
      </c>
      <c r="R36" s="6">
        <f t="shared" si="1"/>
        <v>0</v>
      </c>
      <c r="S36" s="6">
        <f t="shared" si="2"/>
        <v>1</v>
      </c>
    </row>
    <row r="37" spans="1:19" x14ac:dyDescent="0.2">
      <c r="A37" s="3">
        <v>13946</v>
      </c>
      <c r="B37" s="4" t="s">
        <v>149</v>
      </c>
      <c r="C37" s="4" t="s">
        <v>144</v>
      </c>
      <c r="D37" s="4" t="s">
        <v>145</v>
      </c>
      <c r="E37" s="4" t="s">
        <v>86</v>
      </c>
      <c r="F37" s="3">
        <v>21</v>
      </c>
      <c r="G37" s="3">
        <v>5</v>
      </c>
      <c r="H37" s="3">
        <v>1937</v>
      </c>
      <c r="I37" s="4" t="s">
        <v>22</v>
      </c>
      <c r="J37" s="4" t="s">
        <v>144</v>
      </c>
      <c r="K37" s="4"/>
      <c r="L37" s="5" t="s">
        <v>24</v>
      </c>
      <c r="M37" s="3">
        <v>2</v>
      </c>
      <c r="N37" s="3">
        <v>56</v>
      </c>
      <c r="O37" s="3">
        <v>0</v>
      </c>
      <c r="P37" s="4"/>
      <c r="Q37" s="6">
        <f t="shared" si="0"/>
        <v>3.4482758620689655E-2</v>
      </c>
      <c r="R37" s="6">
        <f t="shared" si="1"/>
        <v>0.96551724137931039</v>
      </c>
      <c r="S37" s="6">
        <f t="shared" si="2"/>
        <v>0</v>
      </c>
    </row>
    <row r="38" spans="1:19" x14ac:dyDescent="0.2">
      <c r="A38" s="3">
        <v>13945</v>
      </c>
      <c r="B38" s="4" t="s">
        <v>150</v>
      </c>
      <c r="C38" s="4" t="s">
        <v>144</v>
      </c>
      <c r="D38" s="4" t="s">
        <v>85</v>
      </c>
      <c r="E38" s="4" t="s">
        <v>86</v>
      </c>
      <c r="F38" s="3">
        <v>6</v>
      </c>
      <c r="G38" s="3">
        <v>5</v>
      </c>
      <c r="H38" s="3">
        <v>1970</v>
      </c>
      <c r="I38" s="4" t="s">
        <v>22</v>
      </c>
      <c r="J38" s="4" t="s">
        <v>144</v>
      </c>
      <c r="K38" s="4" t="s">
        <v>151</v>
      </c>
      <c r="L38" s="5" t="s">
        <v>24</v>
      </c>
      <c r="M38" s="3">
        <v>275</v>
      </c>
      <c r="N38" s="3">
        <v>0</v>
      </c>
      <c r="O38" s="3">
        <v>0</v>
      </c>
      <c r="P38" s="4"/>
      <c r="Q38" s="6">
        <f t="shared" si="0"/>
        <v>1</v>
      </c>
      <c r="R38" s="6">
        <f t="shared" si="1"/>
        <v>0</v>
      </c>
      <c r="S38" s="6">
        <f t="shared" si="2"/>
        <v>0</v>
      </c>
    </row>
    <row r="39" spans="1:19" x14ac:dyDescent="0.2">
      <c r="A39" s="3">
        <v>131836</v>
      </c>
      <c r="B39" s="4" t="s">
        <v>152</v>
      </c>
      <c r="C39" s="4" t="s">
        <v>144</v>
      </c>
      <c r="D39" s="4" t="s">
        <v>153</v>
      </c>
      <c r="E39" s="4" t="s">
        <v>154</v>
      </c>
      <c r="F39" s="3">
        <v>30</v>
      </c>
      <c r="G39" s="3">
        <v>5</v>
      </c>
      <c r="H39" s="3">
        <v>1996</v>
      </c>
      <c r="I39" s="4" t="s">
        <v>22</v>
      </c>
      <c r="J39" s="4" t="s">
        <v>144</v>
      </c>
      <c r="K39" s="4" t="s">
        <v>155</v>
      </c>
      <c r="L39" s="5" t="s">
        <v>24</v>
      </c>
      <c r="M39" s="3">
        <v>0</v>
      </c>
      <c r="N39" s="3">
        <v>18</v>
      </c>
      <c r="O39" s="3">
        <v>0</v>
      </c>
      <c r="P39" s="4"/>
      <c r="Q39" s="6">
        <f t="shared" si="0"/>
        <v>0</v>
      </c>
      <c r="R39" s="6">
        <f t="shared" si="1"/>
        <v>1</v>
      </c>
      <c r="S39" s="6">
        <f t="shared" si="2"/>
        <v>0</v>
      </c>
    </row>
    <row r="40" spans="1:19" x14ac:dyDescent="0.2">
      <c r="A40" s="3">
        <v>92588</v>
      </c>
      <c r="B40" s="4" t="s">
        <v>156</v>
      </c>
      <c r="C40" s="4" t="s">
        <v>144</v>
      </c>
      <c r="D40" s="4" t="s">
        <v>109</v>
      </c>
      <c r="E40" s="4" t="s">
        <v>157</v>
      </c>
      <c r="F40" s="3">
        <v>3</v>
      </c>
      <c r="G40" s="3">
        <v>7</v>
      </c>
      <c r="H40" s="3">
        <v>1990</v>
      </c>
      <c r="I40" s="4" t="s">
        <v>22</v>
      </c>
      <c r="J40" s="4" t="s">
        <v>144</v>
      </c>
      <c r="K40" s="4" t="s">
        <v>158</v>
      </c>
      <c r="L40" s="5" t="s">
        <v>24</v>
      </c>
      <c r="M40" s="3">
        <v>0</v>
      </c>
      <c r="N40" s="3">
        <v>0</v>
      </c>
      <c r="O40" s="3">
        <v>3</v>
      </c>
      <c r="P40" s="4"/>
      <c r="Q40" s="6">
        <f t="shared" si="0"/>
        <v>0</v>
      </c>
      <c r="R40" s="6">
        <f t="shared" si="1"/>
        <v>0</v>
      </c>
      <c r="S40" s="6">
        <f t="shared" si="2"/>
        <v>1</v>
      </c>
    </row>
    <row r="41" spans="1:19" x14ac:dyDescent="0.2">
      <c r="A41" s="3">
        <v>35454</v>
      </c>
      <c r="B41" s="4" t="s">
        <v>159</v>
      </c>
      <c r="C41" s="4" t="s">
        <v>144</v>
      </c>
      <c r="D41" s="4" t="s">
        <v>160</v>
      </c>
      <c r="E41" s="4" t="s">
        <v>86</v>
      </c>
      <c r="F41" s="3">
        <v>28</v>
      </c>
      <c r="G41" s="3">
        <v>11</v>
      </c>
      <c r="H41" s="3">
        <v>1977</v>
      </c>
      <c r="I41" s="4" t="s">
        <v>22</v>
      </c>
      <c r="J41" s="4" t="s">
        <v>144</v>
      </c>
      <c r="K41" s="4" t="s">
        <v>161</v>
      </c>
      <c r="L41" s="5" t="s">
        <v>24</v>
      </c>
      <c r="M41" s="3">
        <v>0</v>
      </c>
      <c r="N41" s="3">
        <v>0</v>
      </c>
      <c r="O41" s="3">
        <v>0</v>
      </c>
      <c r="P41" s="4"/>
      <c r="Q41" s="6" t="e">
        <f t="shared" si="0"/>
        <v>#DIV/0!</v>
      </c>
      <c r="R41" s="6" t="e">
        <f t="shared" si="1"/>
        <v>#DIV/0!</v>
      </c>
      <c r="S41" s="6" t="e">
        <f t="shared" si="2"/>
        <v>#DIV/0!</v>
      </c>
    </row>
    <row r="42" spans="1:19" x14ac:dyDescent="0.2">
      <c r="A42" s="3">
        <v>75004</v>
      </c>
      <c r="B42" s="4" t="s">
        <v>162</v>
      </c>
      <c r="C42" s="4" t="s">
        <v>144</v>
      </c>
      <c r="D42" s="4" t="s">
        <v>74</v>
      </c>
      <c r="E42" s="4" t="s">
        <v>163</v>
      </c>
      <c r="F42" s="3">
        <v>12</v>
      </c>
      <c r="G42" s="3">
        <v>5</v>
      </c>
      <c r="H42" s="3">
        <v>1988</v>
      </c>
      <c r="I42" s="4" t="s">
        <v>22</v>
      </c>
      <c r="J42" s="4" t="s">
        <v>144</v>
      </c>
      <c r="K42" s="4" t="s">
        <v>158</v>
      </c>
      <c r="L42" s="5" t="s">
        <v>24</v>
      </c>
      <c r="M42" s="3">
        <v>12</v>
      </c>
      <c r="N42" s="3">
        <v>129</v>
      </c>
      <c r="O42" s="3">
        <v>0</v>
      </c>
      <c r="P42" s="4"/>
      <c r="Q42" s="6">
        <f t="shared" si="0"/>
        <v>8.5106382978723402E-2</v>
      </c>
      <c r="R42" s="6">
        <f t="shared" si="1"/>
        <v>0.91489361702127658</v>
      </c>
      <c r="S42" s="6">
        <f t="shared" si="2"/>
        <v>0</v>
      </c>
    </row>
    <row r="43" spans="1:19" x14ac:dyDescent="0.2">
      <c r="A43" s="3">
        <v>182535</v>
      </c>
      <c r="B43" s="4" t="s">
        <v>164</v>
      </c>
      <c r="C43" s="4" t="s">
        <v>40</v>
      </c>
      <c r="D43" s="4" t="s">
        <v>165</v>
      </c>
      <c r="E43" s="4" t="s">
        <v>166</v>
      </c>
      <c r="F43" s="3">
        <v>2</v>
      </c>
      <c r="G43" s="3">
        <v>5</v>
      </c>
      <c r="H43" s="3">
        <v>2016</v>
      </c>
      <c r="I43" s="4" t="s">
        <v>22</v>
      </c>
      <c r="J43" s="4" t="s">
        <v>40</v>
      </c>
      <c r="K43" s="4" t="s">
        <v>167</v>
      </c>
      <c r="L43" s="5" t="s">
        <v>24</v>
      </c>
      <c r="M43" s="3">
        <v>0</v>
      </c>
      <c r="N43" s="3">
        <v>115</v>
      </c>
      <c r="O43" s="3">
        <v>0</v>
      </c>
      <c r="P43" s="4"/>
      <c r="Q43" s="6">
        <f t="shared" si="0"/>
        <v>0</v>
      </c>
      <c r="R43" s="6">
        <f t="shared" si="1"/>
        <v>1</v>
      </c>
      <c r="S43" s="6">
        <f t="shared" si="2"/>
        <v>0</v>
      </c>
    </row>
    <row r="44" spans="1:19" x14ac:dyDescent="0.2">
      <c r="A44" s="3">
        <v>13915</v>
      </c>
      <c r="B44" s="4" t="s">
        <v>168</v>
      </c>
      <c r="C44" s="4" t="s">
        <v>40</v>
      </c>
      <c r="D44" s="4" t="s">
        <v>96</v>
      </c>
      <c r="E44" s="4" t="s">
        <v>86</v>
      </c>
      <c r="F44" s="3">
        <v>14</v>
      </c>
      <c r="G44" s="3">
        <v>5</v>
      </c>
      <c r="H44" s="3">
        <v>1971</v>
      </c>
      <c r="I44" s="4" t="s">
        <v>22</v>
      </c>
      <c r="J44" s="4" t="s">
        <v>40</v>
      </c>
      <c r="K44" s="4" t="s">
        <v>169</v>
      </c>
      <c r="L44" s="5" t="s">
        <v>24</v>
      </c>
      <c r="M44" s="3">
        <v>2</v>
      </c>
      <c r="N44" s="3">
        <v>142</v>
      </c>
      <c r="O44" s="3">
        <v>0</v>
      </c>
      <c r="P44" s="4"/>
      <c r="Q44" s="6">
        <f t="shared" si="0"/>
        <v>1.3888888888888888E-2</v>
      </c>
      <c r="R44" s="6">
        <f t="shared" si="1"/>
        <v>0.98611111111111116</v>
      </c>
      <c r="S44" s="6">
        <f t="shared" si="2"/>
        <v>0</v>
      </c>
    </row>
    <row r="45" spans="1:19" x14ac:dyDescent="0.2">
      <c r="A45" s="3">
        <v>126779</v>
      </c>
      <c r="B45" s="4" t="s">
        <v>170</v>
      </c>
      <c r="C45" s="4" t="s">
        <v>40</v>
      </c>
      <c r="D45" s="4" t="s">
        <v>109</v>
      </c>
      <c r="E45" s="4" t="s">
        <v>171</v>
      </c>
      <c r="F45" s="3">
        <v>16</v>
      </c>
      <c r="G45" s="3">
        <v>5</v>
      </c>
      <c r="H45" s="3">
        <v>1995</v>
      </c>
      <c r="I45" s="4" t="s">
        <v>22</v>
      </c>
      <c r="J45" s="4" t="s">
        <v>40</v>
      </c>
      <c r="K45" s="4" t="s">
        <v>172</v>
      </c>
      <c r="L45" s="5" t="s">
        <v>24</v>
      </c>
      <c r="M45" s="3">
        <v>5</v>
      </c>
      <c r="N45" s="3">
        <v>92</v>
      </c>
      <c r="O45" s="3">
        <v>0</v>
      </c>
      <c r="P45" s="4"/>
      <c r="Q45" s="6">
        <f t="shared" si="0"/>
        <v>5.1546391752577317E-2</v>
      </c>
      <c r="R45" s="6">
        <f t="shared" si="1"/>
        <v>0.94845360824742264</v>
      </c>
      <c r="S45" s="6">
        <f t="shared" si="2"/>
        <v>0</v>
      </c>
    </row>
    <row r="46" spans="1:19" x14ac:dyDescent="0.2">
      <c r="A46" s="3">
        <v>86735</v>
      </c>
      <c r="B46" s="4" t="s">
        <v>173</v>
      </c>
      <c r="C46" s="4" t="s">
        <v>40</v>
      </c>
      <c r="D46" s="4" t="s">
        <v>174</v>
      </c>
      <c r="E46" s="4" t="s">
        <v>175</v>
      </c>
      <c r="F46" s="3">
        <v>17</v>
      </c>
      <c r="G46" s="3">
        <v>5</v>
      </c>
      <c r="H46" s="3">
        <v>1989</v>
      </c>
      <c r="I46" s="4" t="s">
        <v>22</v>
      </c>
      <c r="J46" s="4" t="s">
        <v>40</v>
      </c>
      <c r="K46" s="4" t="s">
        <v>176</v>
      </c>
      <c r="L46" s="5" t="s">
        <v>24</v>
      </c>
      <c r="M46" s="3">
        <v>1</v>
      </c>
      <c r="N46" s="3">
        <v>103</v>
      </c>
      <c r="O46" s="3">
        <v>0</v>
      </c>
      <c r="P46" s="4"/>
      <c r="Q46" s="6">
        <f t="shared" si="0"/>
        <v>9.6153846153846159E-3</v>
      </c>
      <c r="R46" s="6">
        <f t="shared" si="1"/>
        <v>0.99038461538461542</v>
      </c>
      <c r="S46" s="6">
        <f t="shared" si="2"/>
        <v>0</v>
      </c>
    </row>
    <row r="47" spans="1:19" x14ac:dyDescent="0.2">
      <c r="A47" s="3">
        <v>111803</v>
      </c>
      <c r="B47" s="4" t="s">
        <v>177</v>
      </c>
      <c r="C47" s="4" t="s">
        <v>40</v>
      </c>
      <c r="D47" s="4" t="s">
        <v>178</v>
      </c>
      <c r="E47" s="4" t="s">
        <v>179</v>
      </c>
      <c r="F47" s="3">
        <v>11</v>
      </c>
      <c r="G47" s="3">
        <v>5</v>
      </c>
      <c r="H47" s="3">
        <v>1993</v>
      </c>
      <c r="I47" s="4" t="s">
        <v>22</v>
      </c>
      <c r="J47" s="4" t="s">
        <v>40</v>
      </c>
      <c r="K47" s="4" t="s">
        <v>180</v>
      </c>
      <c r="L47" s="5" t="s">
        <v>24</v>
      </c>
      <c r="M47" s="3">
        <v>0</v>
      </c>
      <c r="N47" s="3">
        <v>105</v>
      </c>
      <c r="O47" s="3">
        <v>0</v>
      </c>
      <c r="P47" s="4"/>
      <c r="Q47" s="6">
        <f t="shared" si="0"/>
        <v>0</v>
      </c>
      <c r="R47" s="6">
        <f t="shared" si="1"/>
        <v>1</v>
      </c>
      <c r="S47" s="6">
        <f t="shared" si="2"/>
        <v>0</v>
      </c>
    </row>
    <row r="48" spans="1:19" x14ac:dyDescent="0.2">
      <c r="A48" s="3">
        <v>126740</v>
      </c>
      <c r="B48" s="4" t="s">
        <v>181</v>
      </c>
      <c r="C48" s="4" t="s">
        <v>40</v>
      </c>
      <c r="D48" s="4" t="s">
        <v>109</v>
      </c>
      <c r="E48" s="4" t="s">
        <v>182</v>
      </c>
      <c r="F48" s="3">
        <v>16</v>
      </c>
      <c r="G48" s="3">
        <v>5</v>
      </c>
      <c r="H48" s="3">
        <v>1995</v>
      </c>
      <c r="I48" s="4" t="s">
        <v>22</v>
      </c>
      <c r="J48" s="4" t="s">
        <v>40</v>
      </c>
      <c r="K48" s="4" t="s">
        <v>183</v>
      </c>
      <c r="L48" s="5" t="s">
        <v>24</v>
      </c>
      <c r="M48" s="3">
        <v>8</v>
      </c>
      <c r="N48" s="3">
        <v>53</v>
      </c>
      <c r="O48" s="3">
        <v>0</v>
      </c>
      <c r="P48" s="4"/>
      <c r="Q48" s="6">
        <f t="shared" si="0"/>
        <v>0.13114754098360656</v>
      </c>
      <c r="R48" s="6">
        <f t="shared" si="1"/>
        <v>0.86885245901639341</v>
      </c>
      <c r="S48" s="6">
        <f t="shared" si="2"/>
        <v>0</v>
      </c>
    </row>
    <row r="49" spans="1:19" x14ac:dyDescent="0.2">
      <c r="A49" s="3">
        <v>85641</v>
      </c>
      <c r="B49" s="4" t="s">
        <v>184</v>
      </c>
      <c r="C49" s="4" t="s">
        <v>40</v>
      </c>
      <c r="D49" s="4" t="s">
        <v>78</v>
      </c>
      <c r="E49" s="4" t="s">
        <v>185</v>
      </c>
      <c r="F49" s="3">
        <v>10</v>
      </c>
      <c r="G49" s="3">
        <v>5</v>
      </c>
      <c r="H49" s="3">
        <v>1989</v>
      </c>
      <c r="I49" s="4" t="s">
        <v>22</v>
      </c>
      <c r="J49" s="4" t="s">
        <v>40</v>
      </c>
      <c r="K49" s="4" t="s">
        <v>186</v>
      </c>
      <c r="L49" s="5" t="s">
        <v>24</v>
      </c>
      <c r="M49" s="3">
        <v>10</v>
      </c>
      <c r="N49" s="3">
        <v>158</v>
      </c>
      <c r="O49" s="3">
        <v>0</v>
      </c>
      <c r="P49" s="4"/>
      <c r="Q49" s="6">
        <f t="shared" si="0"/>
        <v>5.9523809523809521E-2</v>
      </c>
      <c r="R49" s="6">
        <f t="shared" si="1"/>
        <v>0.94047619047619047</v>
      </c>
      <c r="S49" s="6">
        <f t="shared" si="2"/>
        <v>0</v>
      </c>
    </row>
    <row r="50" spans="1:19" x14ac:dyDescent="0.2">
      <c r="A50" s="3">
        <v>182597</v>
      </c>
      <c r="B50" s="4" t="s">
        <v>187</v>
      </c>
      <c r="C50" s="4" t="s">
        <v>40</v>
      </c>
      <c r="D50" s="4" t="s">
        <v>61</v>
      </c>
      <c r="E50" s="4" t="s">
        <v>188</v>
      </c>
      <c r="F50" s="3">
        <v>4</v>
      </c>
      <c r="G50" s="3">
        <v>5</v>
      </c>
      <c r="H50" s="3">
        <v>2016</v>
      </c>
      <c r="I50" s="4" t="s">
        <v>22</v>
      </c>
      <c r="J50" s="4" t="s">
        <v>40</v>
      </c>
      <c r="K50" s="4" t="s">
        <v>189</v>
      </c>
      <c r="L50" s="5" t="s">
        <v>24</v>
      </c>
      <c r="M50" s="3">
        <v>0</v>
      </c>
      <c r="N50" s="3">
        <v>146</v>
      </c>
      <c r="O50" s="3">
        <v>0</v>
      </c>
      <c r="P50" s="4"/>
      <c r="Q50" s="6">
        <f t="shared" si="0"/>
        <v>0</v>
      </c>
      <c r="R50" s="6">
        <f t="shared" si="1"/>
        <v>1</v>
      </c>
      <c r="S50" s="6">
        <f t="shared" si="2"/>
        <v>0</v>
      </c>
    </row>
    <row r="51" spans="1:19" x14ac:dyDescent="0.2">
      <c r="A51" s="3">
        <v>167146</v>
      </c>
      <c r="B51" s="4" t="s">
        <v>190</v>
      </c>
      <c r="C51" s="4" t="s">
        <v>40</v>
      </c>
      <c r="D51" s="4" t="s">
        <v>20</v>
      </c>
      <c r="E51" s="4" t="s">
        <v>191</v>
      </c>
      <c r="F51" s="3">
        <v>6</v>
      </c>
      <c r="G51" s="3">
        <v>5</v>
      </c>
      <c r="H51" s="3">
        <v>2008</v>
      </c>
      <c r="I51" s="4" t="s">
        <v>22</v>
      </c>
      <c r="J51" s="4" t="s">
        <v>40</v>
      </c>
      <c r="K51" s="4" t="s">
        <v>192</v>
      </c>
      <c r="L51" s="5" t="s">
        <v>24</v>
      </c>
      <c r="M51" s="3">
        <v>5</v>
      </c>
      <c r="N51" s="3">
        <v>64</v>
      </c>
      <c r="O51" s="3">
        <v>0</v>
      </c>
      <c r="P51" s="4"/>
      <c r="Q51" s="6">
        <f t="shared" si="0"/>
        <v>7.2463768115942032E-2</v>
      </c>
      <c r="R51" s="6">
        <f t="shared" si="1"/>
        <v>0.92753623188405798</v>
      </c>
      <c r="S51" s="6">
        <f t="shared" si="2"/>
        <v>0</v>
      </c>
    </row>
    <row r="52" spans="1:19" x14ac:dyDescent="0.2">
      <c r="A52" s="3">
        <v>184229</v>
      </c>
      <c r="B52" s="4" t="s">
        <v>193</v>
      </c>
      <c r="C52" s="4" t="s">
        <v>40</v>
      </c>
      <c r="D52" s="4" t="s">
        <v>165</v>
      </c>
      <c r="E52" s="4" t="s">
        <v>194</v>
      </c>
      <c r="F52" s="3">
        <v>8</v>
      </c>
      <c r="G52" s="3">
        <v>5</v>
      </c>
      <c r="H52" s="3">
        <v>2017</v>
      </c>
      <c r="I52" s="4" t="s">
        <v>22</v>
      </c>
      <c r="J52" s="4" t="s">
        <v>40</v>
      </c>
      <c r="K52" s="4" t="s">
        <v>195</v>
      </c>
      <c r="L52" s="5" t="s">
        <v>24</v>
      </c>
      <c r="M52" s="3">
        <v>0</v>
      </c>
      <c r="N52" s="3">
        <v>129</v>
      </c>
      <c r="O52" s="3">
        <v>0</v>
      </c>
      <c r="P52" s="4"/>
      <c r="Q52" s="6">
        <f t="shared" si="0"/>
        <v>0</v>
      </c>
      <c r="R52" s="6">
        <f t="shared" si="1"/>
        <v>1</v>
      </c>
      <c r="S52" s="6">
        <f t="shared" si="2"/>
        <v>0</v>
      </c>
    </row>
    <row r="53" spans="1:19" x14ac:dyDescent="0.2">
      <c r="A53" s="3">
        <v>171143</v>
      </c>
      <c r="B53" s="4" t="s">
        <v>196</v>
      </c>
      <c r="C53" s="4" t="s">
        <v>40</v>
      </c>
      <c r="D53" s="4" t="s">
        <v>197</v>
      </c>
      <c r="E53" s="4" t="s">
        <v>198</v>
      </c>
      <c r="F53" s="3">
        <v>12</v>
      </c>
      <c r="G53" s="3">
        <v>5</v>
      </c>
      <c r="H53" s="3">
        <v>2010</v>
      </c>
      <c r="I53" s="4" t="s">
        <v>22</v>
      </c>
      <c r="J53" s="4" t="s">
        <v>40</v>
      </c>
      <c r="K53" s="4" t="s">
        <v>199</v>
      </c>
      <c r="L53" s="5" t="s">
        <v>24</v>
      </c>
      <c r="M53" s="3">
        <v>0</v>
      </c>
      <c r="N53" s="3">
        <v>10</v>
      </c>
      <c r="O53" s="3">
        <v>0</v>
      </c>
      <c r="P53" s="4"/>
      <c r="Q53" s="6">
        <f t="shared" si="0"/>
        <v>0</v>
      </c>
      <c r="R53" s="6">
        <f t="shared" si="1"/>
        <v>1</v>
      </c>
      <c r="S53" s="6">
        <f t="shared" si="2"/>
        <v>0</v>
      </c>
    </row>
    <row r="54" spans="1:19" x14ac:dyDescent="0.2">
      <c r="A54" s="3">
        <v>170320</v>
      </c>
      <c r="B54" s="4" t="s">
        <v>200</v>
      </c>
      <c r="C54" s="4" t="s">
        <v>40</v>
      </c>
      <c r="D54" s="4" t="s">
        <v>20</v>
      </c>
      <c r="E54" s="4" t="s">
        <v>201</v>
      </c>
      <c r="F54" s="3">
        <v>5</v>
      </c>
      <c r="G54" s="3">
        <v>5</v>
      </c>
      <c r="H54" s="3">
        <v>2009</v>
      </c>
      <c r="I54" s="4" t="s">
        <v>22</v>
      </c>
      <c r="J54" s="4" t="s">
        <v>40</v>
      </c>
      <c r="K54" s="4" t="s">
        <v>202</v>
      </c>
      <c r="L54" s="5" t="s">
        <v>24</v>
      </c>
      <c r="M54" s="3">
        <v>17</v>
      </c>
      <c r="N54" s="3">
        <v>154</v>
      </c>
      <c r="O54" s="3">
        <v>0</v>
      </c>
      <c r="P54" s="4"/>
      <c r="Q54" s="6">
        <f t="shared" si="0"/>
        <v>9.9415204678362568E-2</v>
      </c>
      <c r="R54" s="6">
        <f t="shared" si="1"/>
        <v>0.90058479532163738</v>
      </c>
      <c r="S54" s="6">
        <f t="shared" si="2"/>
        <v>0</v>
      </c>
    </row>
    <row r="55" spans="1:19" x14ac:dyDescent="0.2">
      <c r="A55" s="3">
        <v>160615</v>
      </c>
      <c r="B55" s="4" t="s">
        <v>203</v>
      </c>
      <c r="C55" s="4" t="s">
        <v>40</v>
      </c>
      <c r="D55" s="4" t="s">
        <v>204</v>
      </c>
      <c r="E55" s="4" t="s">
        <v>205</v>
      </c>
      <c r="F55" s="3">
        <v>24</v>
      </c>
      <c r="G55" s="3">
        <v>4</v>
      </c>
      <c r="H55" s="3">
        <v>2006</v>
      </c>
      <c r="I55" s="4" t="s">
        <v>22</v>
      </c>
      <c r="J55" s="4" t="s">
        <v>40</v>
      </c>
      <c r="K55" s="4" t="s">
        <v>206</v>
      </c>
      <c r="L55" s="5" t="s">
        <v>24</v>
      </c>
      <c r="M55" s="3">
        <v>27</v>
      </c>
      <c r="N55" s="3">
        <v>144</v>
      </c>
      <c r="O55" s="3">
        <v>0</v>
      </c>
      <c r="P55" s="4"/>
      <c r="Q55" s="6">
        <f t="shared" si="0"/>
        <v>0.15789473684210525</v>
      </c>
      <c r="R55" s="6">
        <f t="shared" si="1"/>
        <v>0.84210526315789469</v>
      </c>
      <c r="S55" s="6">
        <f t="shared" si="2"/>
        <v>0</v>
      </c>
    </row>
    <row r="56" spans="1:19" x14ac:dyDescent="0.2">
      <c r="A56" s="3">
        <v>135721</v>
      </c>
      <c r="B56" s="4" t="s">
        <v>207</v>
      </c>
      <c r="C56" s="4" t="s">
        <v>40</v>
      </c>
      <c r="D56" s="4" t="s">
        <v>208</v>
      </c>
      <c r="E56" s="4" t="s">
        <v>209</v>
      </c>
      <c r="F56" s="3">
        <v>13</v>
      </c>
      <c r="G56" s="3">
        <v>5</v>
      </c>
      <c r="H56" s="3">
        <v>1997</v>
      </c>
      <c r="I56" s="4" t="s">
        <v>22</v>
      </c>
      <c r="J56" s="4" t="s">
        <v>40</v>
      </c>
      <c r="K56" s="4" t="s">
        <v>210</v>
      </c>
      <c r="L56" s="5" t="s">
        <v>24</v>
      </c>
      <c r="M56" s="3">
        <v>21</v>
      </c>
      <c r="N56" s="3">
        <v>24</v>
      </c>
      <c r="O56" s="3">
        <v>0</v>
      </c>
      <c r="P56" s="4"/>
      <c r="Q56" s="6">
        <f t="shared" si="0"/>
        <v>0.46666666666666667</v>
      </c>
      <c r="R56" s="6">
        <f t="shared" si="1"/>
        <v>0.53333333333333333</v>
      </c>
      <c r="S56" s="6">
        <f t="shared" si="2"/>
        <v>0</v>
      </c>
    </row>
    <row r="57" spans="1:19" x14ac:dyDescent="0.2">
      <c r="A57" s="3">
        <v>182537</v>
      </c>
      <c r="B57" s="4" t="s">
        <v>211</v>
      </c>
      <c r="C57" s="4" t="s">
        <v>40</v>
      </c>
      <c r="D57" s="4" t="s">
        <v>165</v>
      </c>
      <c r="E57" s="4" t="s">
        <v>212</v>
      </c>
      <c r="F57" s="3">
        <v>2</v>
      </c>
      <c r="G57" s="3">
        <v>5</v>
      </c>
      <c r="H57" s="3">
        <v>2016</v>
      </c>
      <c r="I57" s="4" t="s">
        <v>22</v>
      </c>
      <c r="J57" s="4" t="s">
        <v>40</v>
      </c>
      <c r="K57" s="4" t="s">
        <v>213</v>
      </c>
      <c r="L57" s="5" t="s">
        <v>24</v>
      </c>
      <c r="M57" s="3">
        <v>3</v>
      </c>
      <c r="N57" s="3">
        <v>201</v>
      </c>
      <c r="O57" s="3">
        <v>0</v>
      </c>
      <c r="P57" s="4"/>
      <c r="Q57" s="6">
        <f t="shared" si="0"/>
        <v>1.4705882352941176E-2</v>
      </c>
      <c r="R57" s="6">
        <f t="shared" si="1"/>
        <v>0.98529411764705888</v>
      </c>
      <c r="S57" s="6">
        <f t="shared" si="2"/>
        <v>0</v>
      </c>
    </row>
    <row r="58" spans="1:19" x14ac:dyDescent="0.2">
      <c r="A58" s="3">
        <v>186689</v>
      </c>
      <c r="B58" s="4" t="s">
        <v>214</v>
      </c>
      <c r="C58" s="4" t="s">
        <v>40</v>
      </c>
      <c r="D58" s="4" t="s">
        <v>165</v>
      </c>
      <c r="E58" s="4" t="s">
        <v>215</v>
      </c>
      <c r="F58" s="3">
        <v>13</v>
      </c>
      <c r="G58" s="3">
        <v>5</v>
      </c>
      <c r="H58" s="3">
        <v>2019</v>
      </c>
      <c r="I58" s="4" t="s">
        <v>22</v>
      </c>
      <c r="J58" s="4" t="s">
        <v>40</v>
      </c>
      <c r="K58" s="4" t="s">
        <v>216</v>
      </c>
      <c r="L58" s="5" t="s">
        <v>24</v>
      </c>
      <c r="M58" s="3">
        <v>1</v>
      </c>
      <c r="N58" s="3">
        <v>55</v>
      </c>
      <c r="O58" s="3">
        <v>0</v>
      </c>
      <c r="P58" s="4"/>
      <c r="Q58" s="6">
        <f t="shared" si="0"/>
        <v>1.7857142857142856E-2</v>
      </c>
      <c r="R58" s="6">
        <f t="shared" si="1"/>
        <v>0.9821428571428571</v>
      </c>
      <c r="S58" s="6">
        <f t="shared" si="2"/>
        <v>0</v>
      </c>
    </row>
    <row r="59" spans="1:19" x14ac:dyDescent="0.2">
      <c r="A59" s="3">
        <v>172935</v>
      </c>
      <c r="B59" s="4" t="s">
        <v>217</v>
      </c>
      <c r="C59" s="4" t="s">
        <v>40</v>
      </c>
      <c r="D59" s="4" t="s">
        <v>61</v>
      </c>
      <c r="E59" s="4" t="s">
        <v>218</v>
      </c>
      <c r="F59" s="3">
        <v>11</v>
      </c>
      <c r="G59" s="3">
        <v>5</v>
      </c>
      <c r="H59" s="3">
        <v>2011</v>
      </c>
      <c r="I59" s="4" t="s">
        <v>22</v>
      </c>
      <c r="J59" s="4" t="s">
        <v>40</v>
      </c>
      <c r="K59" s="4" t="s">
        <v>219</v>
      </c>
      <c r="L59" s="5" t="s">
        <v>24</v>
      </c>
      <c r="M59" s="3">
        <v>22</v>
      </c>
      <c r="N59" s="3">
        <v>121</v>
      </c>
      <c r="O59" s="3">
        <v>0</v>
      </c>
      <c r="P59" s="4"/>
      <c r="Q59" s="6">
        <f t="shared" si="0"/>
        <v>0.15384615384615385</v>
      </c>
      <c r="R59" s="6">
        <f t="shared" si="1"/>
        <v>0.84615384615384615</v>
      </c>
      <c r="S59" s="6">
        <f t="shared" si="2"/>
        <v>0</v>
      </c>
    </row>
    <row r="60" spans="1:19" x14ac:dyDescent="0.2">
      <c r="A60" s="3">
        <v>91528</v>
      </c>
      <c r="B60" s="4" t="s">
        <v>220</v>
      </c>
      <c r="C60" s="4" t="s">
        <v>40</v>
      </c>
      <c r="D60" s="4" t="s">
        <v>221</v>
      </c>
      <c r="E60" s="4" t="s">
        <v>222</v>
      </c>
      <c r="F60" s="3">
        <v>9</v>
      </c>
      <c r="G60" s="3">
        <v>5</v>
      </c>
      <c r="H60" s="3">
        <v>1990</v>
      </c>
      <c r="I60" s="4" t="s">
        <v>22</v>
      </c>
      <c r="J60" s="4" t="s">
        <v>40</v>
      </c>
      <c r="K60" s="4" t="s">
        <v>223</v>
      </c>
      <c r="L60" s="5" t="s">
        <v>24</v>
      </c>
      <c r="M60" s="3">
        <v>0</v>
      </c>
      <c r="N60" s="3">
        <v>68</v>
      </c>
      <c r="O60" s="3">
        <v>0</v>
      </c>
      <c r="P60" s="4"/>
      <c r="Q60" s="6">
        <f t="shared" si="0"/>
        <v>0</v>
      </c>
      <c r="R60" s="6">
        <f t="shared" si="1"/>
        <v>1</v>
      </c>
      <c r="S60" s="6">
        <f t="shared" si="2"/>
        <v>0</v>
      </c>
    </row>
    <row r="61" spans="1:19" x14ac:dyDescent="0.2">
      <c r="A61" s="3">
        <v>182536</v>
      </c>
      <c r="B61" s="4" t="s">
        <v>224</v>
      </c>
      <c r="C61" s="4" t="s">
        <v>40</v>
      </c>
      <c r="D61" s="4" t="s">
        <v>53</v>
      </c>
      <c r="E61" s="4" t="s">
        <v>225</v>
      </c>
      <c r="F61" s="3">
        <v>2</v>
      </c>
      <c r="G61" s="3">
        <v>5</v>
      </c>
      <c r="H61" s="3">
        <v>2016</v>
      </c>
      <c r="I61" s="4" t="s">
        <v>22</v>
      </c>
      <c r="J61" s="4" t="s">
        <v>40</v>
      </c>
      <c r="K61" s="4" t="s">
        <v>226</v>
      </c>
      <c r="L61" s="5" t="s">
        <v>24</v>
      </c>
      <c r="M61" s="3">
        <v>0</v>
      </c>
      <c r="N61" s="3">
        <v>153</v>
      </c>
      <c r="O61" s="3">
        <v>0</v>
      </c>
      <c r="P61" s="4"/>
      <c r="Q61" s="6">
        <f t="shared" si="0"/>
        <v>0</v>
      </c>
      <c r="R61" s="6">
        <f t="shared" si="1"/>
        <v>1</v>
      </c>
      <c r="S61" s="6">
        <f t="shared" si="2"/>
        <v>0</v>
      </c>
    </row>
    <row r="62" spans="1:19" x14ac:dyDescent="0.2">
      <c r="A62" s="3">
        <v>182533</v>
      </c>
      <c r="B62" s="4" t="s">
        <v>227</v>
      </c>
      <c r="C62" s="4" t="s">
        <v>40</v>
      </c>
      <c r="D62" s="4" t="s">
        <v>165</v>
      </c>
      <c r="E62" s="4" t="s">
        <v>228</v>
      </c>
      <c r="F62" s="3">
        <v>2</v>
      </c>
      <c r="G62" s="3">
        <v>5</v>
      </c>
      <c r="H62" s="3">
        <v>2016</v>
      </c>
      <c r="I62" s="4" t="s">
        <v>22</v>
      </c>
      <c r="J62" s="4" t="s">
        <v>40</v>
      </c>
      <c r="K62" s="4" t="s">
        <v>229</v>
      </c>
      <c r="L62" s="5" t="s">
        <v>24</v>
      </c>
      <c r="M62" s="3">
        <v>0</v>
      </c>
      <c r="N62" s="3">
        <v>109</v>
      </c>
      <c r="O62" s="3">
        <v>0</v>
      </c>
      <c r="P62" s="4"/>
      <c r="Q62" s="6">
        <f t="shared" si="0"/>
        <v>0</v>
      </c>
      <c r="R62" s="6">
        <f t="shared" si="1"/>
        <v>1</v>
      </c>
      <c r="S62" s="6">
        <f t="shared" si="2"/>
        <v>0</v>
      </c>
    </row>
    <row r="63" spans="1:19" x14ac:dyDescent="0.2">
      <c r="A63" s="3">
        <v>167017</v>
      </c>
      <c r="B63" s="4" t="s">
        <v>230</v>
      </c>
      <c r="C63" s="4" t="s">
        <v>40</v>
      </c>
      <c r="D63" s="4" t="s">
        <v>133</v>
      </c>
      <c r="E63" s="4" t="s">
        <v>231</v>
      </c>
      <c r="F63" s="3">
        <v>14</v>
      </c>
      <c r="G63" s="3">
        <v>5</v>
      </c>
      <c r="H63" s="3">
        <v>2008</v>
      </c>
      <c r="I63" s="4" t="s">
        <v>22</v>
      </c>
      <c r="J63" s="4" t="s">
        <v>40</v>
      </c>
      <c r="K63" s="4" t="s">
        <v>232</v>
      </c>
      <c r="L63" s="5" t="s">
        <v>24</v>
      </c>
      <c r="M63" s="3">
        <v>0</v>
      </c>
      <c r="N63" s="3">
        <v>38</v>
      </c>
      <c r="O63" s="3">
        <v>0</v>
      </c>
      <c r="P63" s="4"/>
      <c r="Q63" s="6">
        <f t="shared" si="0"/>
        <v>0</v>
      </c>
      <c r="R63" s="6">
        <f t="shared" si="1"/>
        <v>1</v>
      </c>
      <c r="S63" s="6">
        <f t="shared" si="2"/>
        <v>0</v>
      </c>
    </row>
    <row r="64" spans="1:19" x14ac:dyDescent="0.2">
      <c r="A64" s="3">
        <v>182596</v>
      </c>
      <c r="B64" s="4" t="s">
        <v>233</v>
      </c>
      <c r="C64" s="4" t="s">
        <v>40</v>
      </c>
      <c r="D64" s="4" t="s">
        <v>234</v>
      </c>
      <c r="E64" s="4" t="s">
        <v>235</v>
      </c>
      <c r="F64" s="3">
        <v>4</v>
      </c>
      <c r="G64" s="3">
        <v>5</v>
      </c>
      <c r="H64" s="3">
        <v>2016</v>
      </c>
      <c r="I64" s="4" t="s">
        <v>22</v>
      </c>
      <c r="J64" s="4" t="s">
        <v>40</v>
      </c>
      <c r="K64" s="4" t="s">
        <v>236</v>
      </c>
      <c r="L64" s="5" t="s">
        <v>24</v>
      </c>
      <c r="M64" s="3">
        <v>21</v>
      </c>
      <c r="N64" s="3">
        <v>118</v>
      </c>
      <c r="O64" s="3">
        <v>0</v>
      </c>
      <c r="P64" s="4"/>
      <c r="Q64" s="6">
        <f t="shared" si="0"/>
        <v>0.15107913669064749</v>
      </c>
      <c r="R64" s="6">
        <f t="shared" si="1"/>
        <v>0.84892086330935257</v>
      </c>
      <c r="S64" s="6">
        <f t="shared" si="2"/>
        <v>0</v>
      </c>
    </row>
    <row r="65" spans="1:19" x14ac:dyDescent="0.2">
      <c r="A65" s="3">
        <v>159987</v>
      </c>
      <c r="B65" s="4" t="s">
        <v>237</v>
      </c>
      <c r="C65" s="4" t="s">
        <v>40</v>
      </c>
      <c r="D65" s="4" t="s">
        <v>238</v>
      </c>
      <c r="E65" s="4" t="s">
        <v>239</v>
      </c>
      <c r="F65" s="3">
        <v>1</v>
      </c>
      <c r="G65" s="3">
        <v>5</v>
      </c>
      <c r="H65" s="3">
        <v>2006</v>
      </c>
      <c r="I65" s="4" t="s">
        <v>22</v>
      </c>
      <c r="J65" s="4" t="s">
        <v>40</v>
      </c>
      <c r="K65" s="4" t="s">
        <v>240</v>
      </c>
      <c r="L65" s="5" t="s">
        <v>24</v>
      </c>
      <c r="M65" s="3">
        <v>0</v>
      </c>
      <c r="N65" s="3">
        <v>136</v>
      </c>
      <c r="O65" s="3">
        <v>0</v>
      </c>
      <c r="P65" s="4"/>
      <c r="Q65" s="6">
        <f t="shared" si="0"/>
        <v>0</v>
      </c>
      <c r="R65" s="6">
        <f t="shared" si="1"/>
        <v>1</v>
      </c>
      <c r="S65" s="6">
        <f t="shared" si="2"/>
        <v>0</v>
      </c>
    </row>
    <row r="66" spans="1:19" x14ac:dyDescent="0.2">
      <c r="A66" s="3">
        <v>167027</v>
      </c>
      <c r="B66" s="4" t="s">
        <v>241</v>
      </c>
      <c r="C66" s="4" t="s">
        <v>40</v>
      </c>
      <c r="D66" s="4" t="s">
        <v>197</v>
      </c>
      <c r="E66" s="4" t="s">
        <v>242</v>
      </c>
      <c r="F66" s="3">
        <v>14</v>
      </c>
      <c r="G66" s="3">
        <v>5</v>
      </c>
      <c r="H66" s="3">
        <v>2008</v>
      </c>
      <c r="I66" s="4" t="s">
        <v>22</v>
      </c>
      <c r="J66" s="4" t="s">
        <v>40</v>
      </c>
      <c r="K66" s="4" t="s">
        <v>243</v>
      </c>
      <c r="L66" s="5" t="s">
        <v>24</v>
      </c>
      <c r="M66" s="3">
        <v>0</v>
      </c>
      <c r="N66" s="3">
        <v>104</v>
      </c>
      <c r="O66" s="3">
        <v>0</v>
      </c>
      <c r="P66" s="4"/>
      <c r="Q66" s="6">
        <f t="shared" si="0"/>
        <v>0</v>
      </c>
      <c r="R66" s="6">
        <f t="shared" si="1"/>
        <v>1</v>
      </c>
      <c r="S66" s="6">
        <f t="shared" si="2"/>
        <v>0</v>
      </c>
    </row>
    <row r="67" spans="1:19" x14ac:dyDescent="0.2">
      <c r="A67" s="3">
        <v>171283</v>
      </c>
      <c r="B67" s="4" t="s">
        <v>244</v>
      </c>
      <c r="C67" s="4" t="s">
        <v>40</v>
      </c>
      <c r="D67" s="4" t="s">
        <v>197</v>
      </c>
      <c r="E67" s="4" t="s">
        <v>245</v>
      </c>
      <c r="F67" s="3">
        <v>5</v>
      </c>
      <c r="G67" s="3">
        <v>5</v>
      </c>
      <c r="H67" s="3">
        <v>2010</v>
      </c>
      <c r="I67" s="4" t="s">
        <v>22</v>
      </c>
      <c r="J67" s="4" t="s">
        <v>40</v>
      </c>
      <c r="K67" s="4" t="s">
        <v>246</v>
      </c>
      <c r="L67" s="5" t="s">
        <v>24</v>
      </c>
      <c r="M67" s="3">
        <v>0</v>
      </c>
      <c r="N67" s="3">
        <v>34</v>
      </c>
      <c r="O67" s="3">
        <v>0</v>
      </c>
      <c r="P67" s="4"/>
      <c r="Q67" s="6">
        <f t="shared" si="0"/>
        <v>0</v>
      </c>
      <c r="R67" s="6">
        <f t="shared" si="1"/>
        <v>1</v>
      </c>
      <c r="S67" s="6">
        <f t="shared" si="2"/>
        <v>0</v>
      </c>
    </row>
    <row r="68" spans="1:19" x14ac:dyDescent="0.2">
      <c r="A68" s="3">
        <v>182531</v>
      </c>
      <c r="B68" s="4" t="s">
        <v>247</v>
      </c>
      <c r="C68" s="4" t="s">
        <v>40</v>
      </c>
      <c r="D68" s="4" t="s">
        <v>53</v>
      </c>
      <c r="E68" s="4" t="s">
        <v>248</v>
      </c>
      <c r="F68" s="3">
        <v>2</v>
      </c>
      <c r="G68" s="3">
        <v>5</v>
      </c>
      <c r="H68" s="3">
        <v>2016</v>
      </c>
      <c r="I68" s="4" t="s">
        <v>22</v>
      </c>
      <c r="J68" s="4" t="s">
        <v>40</v>
      </c>
      <c r="K68" s="4" t="s">
        <v>249</v>
      </c>
      <c r="L68" s="5" t="s">
        <v>24</v>
      </c>
      <c r="M68" s="3">
        <v>2</v>
      </c>
      <c r="N68" s="3">
        <v>191</v>
      </c>
      <c r="O68" s="3">
        <v>0</v>
      </c>
      <c r="P68" s="4"/>
      <c r="Q68" s="6">
        <f t="shared" si="0"/>
        <v>1.0362694300518135E-2</v>
      </c>
      <c r="R68" s="6">
        <f t="shared" si="1"/>
        <v>0.98963730569948183</v>
      </c>
      <c r="S68" s="6">
        <f t="shared" si="2"/>
        <v>0</v>
      </c>
    </row>
    <row r="69" spans="1:19" x14ac:dyDescent="0.2">
      <c r="A69" s="3">
        <v>182598</v>
      </c>
      <c r="B69" s="4" t="s">
        <v>250</v>
      </c>
      <c r="C69" s="4" t="s">
        <v>40</v>
      </c>
      <c r="D69" s="4" t="s">
        <v>61</v>
      </c>
      <c r="E69" s="4" t="s">
        <v>251</v>
      </c>
      <c r="F69" s="3">
        <v>4</v>
      </c>
      <c r="G69" s="3">
        <v>5</v>
      </c>
      <c r="H69" s="3">
        <v>2016</v>
      </c>
      <c r="I69" s="4" t="s">
        <v>22</v>
      </c>
      <c r="J69" s="4" t="s">
        <v>40</v>
      </c>
      <c r="K69" s="4" t="s">
        <v>252</v>
      </c>
      <c r="L69" s="5" t="s">
        <v>24</v>
      </c>
      <c r="M69" s="3">
        <v>0</v>
      </c>
      <c r="N69" s="3">
        <v>80</v>
      </c>
      <c r="O69" s="3">
        <v>0</v>
      </c>
      <c r="P69" s="4"/>
      <c r="Q69" s="6">
        <f t="shared" si="0"/>
        <v>0</v>
      </c>
      <c r="R69" s="6">
        <f t="shared" si="1"/>
        <v>1</v>
      </c>
      <c r="S69" s="6">
        <f t="shared" si="2"/>
        <v>0</v>
      </c>
    </row>
    <row r="70" spans="1:19" x14ac:dyDescent="0.2">
      <c r="A70" s="3">
        <v>131430</v>
      </c>
      <c r="B70" s="4" t="s">
        <v>253</v>
      </c>
      <c r="C70" s="4" t="s">
        <v>40</v>
      </c>
      <c r="D70" s="4" t="s">
        <v>153</v>
      </c>
      <c r="E70" s="4" t="s">
        <v>254</v>
      </c>
      <c r="F70" s="3">
        <v>24</v>
      </c>
      <c r="G70" s="3">
        <v>5</v>
      </c>
      <c r="H70" s="3">
        <v>1996</v>
      </c>
      <c r="I70" s="4" t="s">
        <v>22</v>
      </c>
      <c r="J70" s="4" t="s">
        <v>40</v>
      </c>
      <c r="K70" s="4" t="s">
        <v>255</v>
      </c>
      <c r="L70" s="5" t="s">
        <v>24</v>
      </c>
      <c r="M70" s="3">
        <v>0</v>
      </c>
      <c r="N70" s="3">
        <v>26</v>
      </c>
      <c r="O70" s="3">
        <v>0</v>
      </c>
      <c r="P70" s="4"/>
      <c r="Q70" s="6">
        <f t="shared" si="0"/>
        <v>0</v>
      </c>
      <c r="R70" s="6">
        <f t="shared" si="1"/>
        <v>1</v>
      </c>
      <c r="S70" s="6">
        <f t="shared" si="2"/>
        <v>0</v>
      </c>
    </row>
    <row r="71" spans="1:19" x14ac:dyDescent="0.2">
      <c r="A71" s="3">
        <v>126741</v>
      </c>
      <c r="B71" s="4" t="s">
        <v>256</v>
      </c>
      <c r="C71" s="4" t="s">
        <v>40</v>
      </c>
      <c r="D71" s="4" t="s">
        <v>109</v>
      </c>
      <c r="E71" s="4" t="s">
        <v>257</v>
      </c>
      <c r="F71" s="3">
        <v>16</v>
      </c>
      <c r="G71" s="3">
        <v>5</v>
      </c>
      <c r="H71" s="3">
        <v>1995</v>
      </c>
      <c r="I71" s="4" t="s">
        <v>22</v>
      </c>
      <c r="J71" s="4" t="s">
        <v>40</v>
      </c>
      <c r="K71" s="4" t="s">
        <v>258</v>
      </c>
      <c r="L71" s="5" t="s">
        <v>24</v>
      </c>
      <c r="M71" s="3">
        <v>1</v>
      </c>
      <c r="N71" s="3">
        <v>46</v>
      </c>
      <c r="O71" s="3">
        <v>0</v>
      </c>
      <c r="P71" s="4"/>
      <c r="Q71" s="6">
        <f t="shared" si="0"/>
        <v>2.1276595744680851E-2</v>
      </c>
      <c r="R71" s="6">
        <f t="shared" si="1"/>
        <v>0.97872340425531912</v>
      </c>
      <c r="S71" s="6">
        <f t="shared" si="2"/>
        <v>0</v>
      </c>
    </row>
    <row r="72" spans="1:19" x14ac:dyDescent="0.2">
      <c r="A72" s="3">
        <v>131629</v>
      </c>
      <c r="B72" s="4" t="s">
        <v>259</v>
      </c>
      <c r="C72" s="4" t="s">
        <v>40</v>
      </c>
      <c r="D72" s="4" t="s">
        <v>260</v>
      </c>
      <c r="E72" s="4" t="s">
        <v>261</v>
      </c>
      <c r="F72" s="3">
        <v>24</v>
      </c>
      <c r="G72" s="3">
        <v>5</v>
      </c>
      <c r="H72" s="3">
        <v>1996</v>
      </c>
      <c r="I72" s="4" t="s">
        <v>22</v>
      </c>
      <c r="J72" s="4" t="s">
        <v>40</v>
      </c>
      <c r="K72" s="4" t="s">
        <v>262</v>
      </c>
      <c r="L72" s="5" t="s">
        <v>24</v>
      </c>
      <c r="M72" s="3">
        <v>0</v>
      </c>
      <c r="N72" s="3">
        <v>13</v>
      </c>
      <c r="O72" s="3">
        <v>0</v>
      </c>
      <c r="P72" s="4"/>
      <c r="Q72" s="6">
        <f t="shared" si="0"/>
        <v>0</v>
      </c>
      <c r="R72" s="6">
        <f t="shared" si="1"/>
        <v>1</v>
      </c>
      <c r="S72" s="6">
        <f t="shared" si="2"/>
        <v>0</v>
      </c>
    </row>
    <row r="73" spans="1:19" x14ac:dyDescent="0.2">
      <c r="A73" s="3">
        <v>182635</v>
      </c>
      <c r="B73" s="4" t="s">
        <v>263</v>
      </c>
      <c r="C73" s="4" t="s">
        <v>40</v>
      </c>
      <c r="D73" s="4" t="s">
        <v>137</v>
      </c>
      <c r="E73" s="4" t="s">
        <v>264</v>
      </c>
      <c r="F73" s="3">
        <v>4</v>
      </c>
      <c r="G73" s="3">
        <v>5</v>
      </c>
      <c r="H73" s="3">
        <v>2016</v>
      </c>
      <c r="I73" s="4" t="s">
        <v>22</v>
      </c>
      <c r="J73" s="4" t="s">
        <v>40</v>
      </c>
      <c r="K73" s="4" t="s">
        <v>265</v>
      </c>
      <c r="L73" s="5" t="s">
        <v>24</v>
      </c>
      <c r="M73" s="3">
        <v>0</v>
      </c>
      <c r="N73" s="3">
        <v>194</v>
      </c>
      <c r="O73" s="3">
        <v>0</v>
      </c>
      <c r="P73" s="4"/>
      <c r="Q73" s="6">
        <f t="shared" si="0"/>
        <v>0</v>
      </c>
      <c r="R73" s="6">
        <f t="shared" si="1"/>
        <v>1</v>
      </c>
      <c r="S73" s="6">
        <f t="shared" si="2"/>
        <v>0</v>
      </c>
    </row>
    <row r="74" spans="1:19" x14ac:dyDescent="0.2">
      <c r="A74" s="3">
        <v>182534</v>
      </c>
      <c r="B74" s="4" t="s">
        <v>266</v>
      </c>
      <c r="C74" s="4" t="s">
        <v>40</v>
      </c>
      <c r="D74" s="4" t="s">
        <v>53</v>
      </c>
      <c r="E74" s="4" t="s">
        <v>267</v>
      </c>
      <c r="F74" s="3">
        <v>2</v>
      </c>
      <c r="G74" s="3">
        <v>5</v>
      </c>
      <c r="H74" s="3">
        <v>2016</v>
      </c>
      <c r="I74" s="4" t="s">
        <v>22</v>
      </c>
      <c r="J74" s="4" t="s">
        <v>40</v>
      </c>
      <c r="K74" s="4" t="s">
        <v>268</v>
      </c>
      <c r="L74" s="5" t="s">
        <v>24</v>
      </c>
      <c r="M74" s="3">
        <v>4</v>
      </c>
      <c r="N74" s="3">
        <v>192</v>
      </c>
      <c r="O74" s="3">
        <v>0</v>
      </c>
      <c r="P74" s="4"/>
      <c r="Q74" s="6">
        <f t="shared" si="0"/>
        <v>2.0408163265306121E-2</v>
      </c>
      <c r="R74" s="6">
        <f t="shared" si="1"/>
        <v>0.97959183673469385</v>
      </c>
      <c r="S74" s="6">
        <f t="shared" si="2"/>
        <v>0</v>
      </c>
    </row>
    <row r="75" spans="1:19" x14ac:dyDescent="0.2">
      <c r="A75" s="3">
        <v>131518</v>
      </c>
      <c r="B75" s="4" t="s">
        <v>269</v>
      </c>
      <c r="C75" s="4" t="s">
        <v>40</v>
      </c>
      <c r="D75" s="4" t="s">
        <v>260</v>
      </c>
      <c r="E75" s="4" t="s">
        <v>270</v>
      </c>
      <c r="F75" s="3">
        <v>24</v>
      </c>
      <c r="G75" s="3">
        <v>5</v>
      </c>
      <c r="H75" s="3">
        <v>1996</v>
      </c>
      <c r="I75" s="4" t="s">
        <v>22</v>
      </c>
      <c r="J75" s="4" t="s">
        <v>40</v>
      </c>
      <c r="K75" s="4" t="s">
        <v>271</v>
      </c>
      <c r="L75" s="5" t="s">
        <v>24</v>
      </c>
      <c r="M75" s="3">
        <v>5</v>
      </c>
      <c r="N75" s="3">
        <v>11</v>
      </c>
      <c r="O75" s="3">
        <v>0</v>
      </c>
      <c r="P75" s="4"/>
      <c r="Q75" s="6">
        <f t="shared" si="0"/>
        <v>0.3125</v>
      </c>
      <c r="R75" s="6">
        <f t="shared" si="1"/>
        <v>0.6875</v>
      </c>
      <c r="S75" s="6">
        <f t="shared" si="2"/>
        <v>0</v>
      </c>
    </row>
    <row r="76" spans="1:19" x14ac:dyDescent="0.2">
      <c r="A76" s="3">
        <v>182532</v>
      </c>
      <c r="B76" s="4" t="s">
        <v>272</v>
      </c>
      <c r="C76" s="4" t="s">
        <v>40</v>
      </c>
      <c r="D76" s="4" t="s">
        <v>165</v>
      </c>
      <c r="E76" s="4" t="s">
        <v>273</v>
      </c>
      <c r="F76" s="3">
        <v>2</v>
      </c>
      <c r="G76" s="3">
        <v>5</v>
      </c>
      <c r="H76" s="3">
        <v>2016</v>
      </c>
      <c r="I76" s="4" t="s">
        <v>22</v>
      </c>
      <c r="J76" s="4" t="s">
        <v>40</v>
      </c>
      <c r="K76" s="4" t="s">
        <v>274</v>
      </c>
      <c r="L76" s="5" t="s">
        <v>24</v>
      </c>
      <c r="M76" s="3">
        <v>1</v>
      </c>
      <c r="N76" s="3">
        <v>178</v>
      </c>
      <c r="O76" s="3">
        <v>0</v>
      </c>
      <c r="P76" s="4"/>
      <c r="Q76" s="6">
        <f t="shared" si="0"/>
        <v>5.5865921787709499E-3</v>
      </c>
      <c r="R76" s="6">
        <f t="shared" si="1"/>
        <v>0.994413407821229</v>
      </c>
      <c r="S76" s="6">
        <f t="shared" si="2"/>
        <v>0</v>
      </c>
    </row>
    <row r="77" spans="1:19" x14ac:dyDescent="0.2">
      <c r="A77" s="3">
        <v>167258</v>
      </c>
      <c r="B77" s="4" t="s">
        <v>275</v>
      </c>
      <c r="C77" s="4" t="s">
        <v>40</v>
      </c>
      <c r="D77" s="4" t="s">
        <v>197</v>
      </c>
      <c r="E77" s="4" t="s">
        <v>276</v>
      </c>
      <c r="F77" s="3">
        <v>21</v>
      </c>
      <c r="G77" s="3">
        <v>5</v>
      </c>
      <c r="H77" s="3">
        <v>2008</v>
      </c>
      <c r="I77" s="4" t="s">
        <v>22</v>
      </c>
      <c r="J77" s="4" t="s">
        <v>40</v>
      </c>
      <c r="K77" s="4" t="s">
        <v>277</v>
      </c>
      <c r="L77" s="5" t="s">
        <v>24</v>
      </c>
      <c r="M77" s="3">
        <v>0</v>
      </c>
      <c r="N77" s="3">
        <v>40</v>
      </c>
      <c r="O77" s="3">
        <v>0</v>
      </c>
      <c r="P77" s="4"/>
      <c r="Q77" s="6">
        <f t="shared" si="0"/>
        <v>0</v>
      </c>
      <c r="R77" s="6">
        <f t="shared" si="1"/>
        <v>1</v>
      </c>
      <c r="S77" s="6">
        <f t="shared" si="2"/>
        <v>0</v>
      </c>
    </row>
    <row r="78" spans="1:19" x14ac:dyDescent="0.2">
      <c r="A78" s="3">
        <v>104064</v>
      </c>
      <c r="B78" s="4" t="s">
        <v>278</v>
      </c>
      <c r="C78" s="4" t="s">
        <v>40</v>
      </c>
      <c r="D78" s="4" t="s">
        <v>153</v>
      </c>
      <c r="E78" s="4" t="s">
        <v>279</v>
      </c>
      <c r="F78" s="3">
        <v>14</v>
      </c>
      <c r="G78" s="3">
        <v>5</v>
      </c>
      <c r="H78" s="3">
        <v>1992</v>
      </c>
      <c r="I78" s="4" t="s">
        <v>22</v>
      </c>
      <c r="J78" s="4" t="s">
        <v>40</v>
      </c>
      <c r="K78" s="4" t="s">
        <v>280</v>
      </c>
      <c r="L78" s="5" t="s">
        <v>24</v>
      </c>
      <c r="M78" s="3">
        <v>0</v>
      </c>
      <c r="N78" s="3">
        <v>195</v>
      </c>
      <c r="O78" s="3">
        <v>0</v>
      </c>
      <c r="P78" s="4"/>
      <c r="Q78" s="6">
        <f t="shared" si="0"/>
        <v>0</v>
      </c>
      <c r="R78" s="6">
        <f t="shared" si="1"/>
        <v>1</v>
      </c>
      <c r="S78" s="6">
        <f t="shared" si="2"/>
        <v>0</v>
      </c>
    </row>
    <row r="79" spans="1:19" x14ac:dyDescent="0.2">
      <c r="A79" s="3">
        <v>126780</v>
      </c>
      <c r="B79" s="4" t="s">
        <v>281</v>
      </c>
      <c r="C79" s="4" t="s">
        <v>40</v>
      </c>
      <c r="D79" s="4" t="s">
        <v>109</v>
      </c>
      <c r="E79" s="4" t="s">
        <v>282</v>
      </c>
      <c r="F79" s="3">
        <v>16</v>
      </c>
      <c r="G79" s="3">
        <v>5</v>
      </c>
      <c r="H79" s="3">
        <v>1995</v>
      </c>
      <c r="I79" s="4" t="s">
        <v>22</v>
      </c>
      <c r="J79" s="4" t="s">
        <v>40</v>
      </c>
      <c r="K79" s="4" t="s">
        <v>283</v>
      </c>
      <c r="L79" s="5" t="s">
        <v>24</v>
      </c>
      <c r="M79" s="3">
        <v>0</v>
      </c>
      <c r="N79" s="3">
        <v>13</v>
      </c>
      <c r="O79" s="3">
        <v>0</v>
      </c>
      <c r="P79" s="4"/>
      <c r="Q79" s="6">
        <f t="shared" si="0"/>
        <v>0</v>
      </c>
      <c r="R79" s="6">
        <f t="shared" si="1"/>
        <v>1</v>
      </c>
      <c r="S79" s="6">
        <f t="shared" si="2"/>
        <v>0</v>
      </c>
    </row>
    <row r="80" spans="1:19" x14ac:dyDescent="0.2">
      <c r="A80" s="3">
        <v>172613</v>
      </c>
      <c r="B80" s="4" t="s">
        <v>284</v>
      </c>
      <c r="C80" s="4" t="s">
        <v>40</v>
      </c>
      <c r="D80" s="4" t="s">
        <v>197</v>
      </c>
      <c r="E80" s="4" t="s">
        <v>285</v>
      </c>
      <c r="F80" s="3">
        <v>18</v>
      </c>
      <c r="G80" s="3">
        <v>5</v>
      </c>
      <c r="H80" s="3">
        <v>2011</v>
      </c>
      <c r="I80" s="4" t="s">
        <v>22</v>
      </c>
      <c r="J80" s="4" t="s">
        <v>40</v>
      </c>
      <c r="K80" s="4" t="s">
        <v>286</v>
      </c>
      <c r="L80" s="5" t="s">
        <v>24</v>
      </c>
      <c r="M80" s="3">
        <v>0</v>
      </c>
      <c r="N80" s="3">
        <v>42</v>
      </c>
      <c r="O80" s="3">
        <v>0</v>
      </c>
      <c r="P80" s="4"/>
      <c r="Q80" s="6">
        <f t="shared" si="0"/>
        <v>0</v>
      </c>
      <c r="R80" s="6">
        <f t="shared" si="1"/>
        <v>1</v>
      </c>
      <c r="S80" s="6">
        <f t="shared" si="2"/>
        <v>0</v>
      </c>
    </row>
    <row r="81" spans="1:19" x14ac:dyDescent="0.2">
      <c r="A81" s="3">
        <v>182599</v>
      </c>
      <c r="B81" s="4" t="s">
        <v>287</v>
      </c>
      <c r="C81" s="4" t="s">
        <v>40</v>
      </c>
      <c r="D81" s="4" t="s">
        <v>61</v>
      </c>
      <c r="E81" s="4" t="s">
        <v>288</v>
      </c>
      <c r="F81" s="3">
        <v>4</v>
      </c>
      <c r="G81" s="3">
        <v>5</v>
      </c>
      <c r="H81" s="3">
        <v>2016</v>
      </c>
      <c r="I81" s="4" t="s">
        <v>22</v>
      </c>
      <c r="J81" s="4" t="s">
        <v>40</v>
      </c>
      <c r="K81" s="4" t="s">
        <v>289</v>
      </c>
      <c r="L81" s="5" t="s">
        <v>24</v>
      </c>
      <c r="M81" s="3">
        <v>10</v>
      </c>
      <c r="N81" s="3">
        <v>190</v>
      </c>
      <c r="O81" s="3">
        <v>0</v>
      </c>
      <c r="P81" s="4"/>
      <c r="Q81" s="6">
        <f t="shared" si="0"/>
        <v>0.05</v>
      </c>
      <c r="R81" s="6">
        <f t="shared" si="1"/>
        <v>0.95</v>
      </c>
      <c r="S81" s="6">
        <f t="shared" si="2"/>
        <v>0</v>
      </c>
    </row>
    <row r="82" spans="1:19" x14ac:dyDescent="0.2">
      <c r="A82" s="3">
        <v>131370</v>
      </c>
      <c r="B82" s="4" t="s">
        <v>290</v>
      </c>
      <c r="C82" s="4" t="s">
        <v>40</v>
      </c>
      <c r="D82" s="4" t="s">
        <v>153</v>
      </c>
      <c r="E82" s="4" t="s">
        <v>291</v>
      </c>
      <c r="F82" s="3">
        <v>24</v>
      </c>
      <c r="G82" s="3">
        <v>5</v>
      </c>
      <c r="H82" s="3">
        <v>1996</v>
      </c>
      <c r="I82" s="4" t="s">
        <v>22</v>
      </c>
      <c r="J82" s="4" t="s">
        <v>40</v>
      </c>
      <c r="K82" s="4" t="s">
        <v>292</v>
      </c>
      <c r="L82" s="5" t="s">
        <v>24</v>
      </c>
      <c r="M82" s="3">
        <v>0</v>
      </c>
      <c r="N82" s="3">
        <v>34</v>
      </c>
      <c r="O82" s="3">
        <v>0</v>
      </c>
      <c r="P82" s="4"/>
      <c r="Q82" s="6">
        <f t="shared" si="0"/>
        <v>0</v>
      </c>
      <c r="R82" s="6">
        <f t="shared" si="1"/>
        <v>1</v>
      </c>
      <c r="S82" s="6">
        <f t="shared" si="2"/>
        <v>0</v>
      </c>
    </row>
    <row r="83" spans="1:19" x14ac:dyDescent="0.2">
      <c r="A83" s="3">
        <v>173922</v>
      </c>
      <c r="B83" s="4" t="s">
        <v>293</v>
      </c>
      <c r="C83" s="4" t="s">
        <v>40</v>
      </c>
      <c r="D83" s="4" t="s">
        <v>61</v>
      </c>
      <c r="E83" s="4" t="s">
        <v>294</v>
      </c>
      <c r="F83" s="3">
        <v>11</v>
      </c>
      <c r="G83" s="3">
        <v>4</v>
      </c>
      <c r="H83" s="3">
        <v>2012</v>
      </c>
      <c r="I83" s="4" t="s">
        <v>22</v>
      </c>
      <c r="J83" s="4" t="s">
        <v>40</v>
      </c>
      <c r="K83" s="4" t="s">
        <v>295</v>
      </c>
      <c r="L83" s="5" t="s">
        <v>24</v>
      </c>
      <c r="M83" s="3">
        <v>0</v>
      </c>
      <c r="N83" s="3">
        <v>123</v>
      </c>
      <c r="O83" s="4"/>
      <c r="P83" s="4"/>
      <c r="Q83" s="6">
        <f t="shared" si="0"/>
        <v>0</v>
      </c>
      <c r="R83" s="6">
        <f t="shared" si="1"/>
        <v>1</v>
      </c>
      <c r="S83" s="6">
        <f t="shared" si="2"/>
        <v>0</v>
      </c>
    </row>
    <row r="84" spans="1:19" x14ac:dyDescent="0.2">
      <c r="A84" s="3">
        <v>186568</v>
      </c>
      <c r="B84" s="4" t="s">
        <v>296</v>
      </c>
      <c r="C84" s="4" t="s">
        <v>40</v>
      </c>
      <c r="D84" s="4" t="s">
        <v>61</v>
      </c>
      <c r="E84" s="4" t="s">
        <v>297</v>
      </c>
      <c r="F84" s="3">
        <v>8</v>
      </c>
      <c r="G84" s="3">
        <v>8</v>
      </c>
      <c r="H84" s="3">
        <v>2018</v>
      </c>
      <c r="I84" s="4" t="s">
        <v>22</v>
      </c>
      <c r="J84" s="4" t="s">
        <v>40</v>
      </c>
      <c r="K84" s="4" t="s">
        <v>298</v>
      </c>
      <c r="L84" s="5" t="s">
        <v>24</v>
      </c>
      <c r="M84" s="3">
        <v>0</v>
      </c>
      <c r="N84" s="3">
        <v>0</v>
      </c>
      <c r="O84" s="3">
        <v>4</v>
      </c>
      <c r="P84" s="4"/>
      <c r="Q84" s="6">
        <f t="shared" si="0"/>
        <v>0</v>
      </c>
      <c r="R84" s="6">
        <f t="shared" si="1"/>
        <v>0</v>
      </c>
      <c r="S84" s="6">
        <f t="shared" si="2"/>
        <v>1</v>
      </c>
    </row>
    <row r="85" spans="1:19" x14ac:dyDescent="0.2">
      <c r="A85" s="3">
        <v>186866</v>
      </c>
      <c r="B85" s="4" t="s">
        <v>299</v>
      </c>
      <c r="C85" s="4" t="s">
        <v>40</v>
      </c>
      <c r="D85" s="4" t="s">
        <v>53</v>
      </c>
      <c r="E85" s="4" t="s">
        <v>300</v>
      </c>
      <c r="F85" s="3">
        <v>17</v>
      </c>
      <c r="G85" s="3">
        <v>6</v>
      </c>
      <c r="H85" s="3">
        <v>2019</v>
      </c>
      <c r="I85" s="4" t="s">
        <v>22</v>
      </c>
      <c r="J85" s="4" t="s">
        <v>40</v>
      </c>
      <c r="K85" s="4" t="s">
        <v>301</v>
      </c>
      <c r="L85" s="5" t="s">
        <v>24</v>
      </c>
      <c r="M85" s="3">
        <v>0</v>
      </c>
      <c r="N85" s="3">
        <v>0</v>
      </c>
      <c r="O85" s="3">
        <v>2</v>
      </c>
      <c r="P85" s="4"/>
      <c r="Q85" s="6">
        <f t="shared" si="0"/>
        <v>0</v>
      </c>
      <c r="R85" s="6">
        <f t="shared" si="1"/>
        <v>0</v>
      </c>
      <c r="S85" s="6">
        <f t="shared" si="2"/>
        <v>1</v>
      </c>
    </row>
    <row r="86" spans="1:19" x14ac:dyDescent="0.2">
      <c r="A86" s="3">
        <v>187274</v>
      </c>
      <c r="B86" s="4" t="s">
        <v>302</v>
      </c>
      <c r="C86" s="4" t="s">
        <v>40</v>
      </c>
      <c r="D86" s="4" t="s">
        <v>20</v>
      </c>
      <c r="E86" s="4" t="s">
        <v>303</v>
      </c>
      <c r="F86" s="3">
        <v>24</v>
      </c>
      <c r="G86" s="3">
        <v>10</v>
      </c>
      <c r="H86" s="3">
        <v>2019</v>
      </c>
      <c r="I86" s="4" t="s">
        <v>22</v>
      </c>
      <c r="J86" s="4" t="s">
        <v>40</v>
      </c>
      <c r="K86" s="4" t="s">
        <v>304</v>
      </c>
      <c r="L86" s="5" t="s">
        <v>24</v>
      </c>
      <c r="M86" s="3">
        <v>0</v>
      </c>
      <c r="N86" s="3">
        <v>0</v>
      </c>
      <c r="O86" s="3">
        <v>1</v>
      </c>
      <c r="P86" s="4"/>
      <c r="Q86" s="6">
        <f t="shared" si="0"/>
        <v>0</v>
      </c>
      <c r="R86" s="6">
        <f t="shared" si="1"/>
        <v>0</v>
      </c>
      <c r="S86" s="6">
        <f t="shared" si="2"/>
        <v>1</v>
      </c>
    </row>
    <row r="87" spans="1:19" x14ac:dyDescent="0.2">
      <c r="A87" s="3">
        <v>182175</v>
      </c>
      <c r="B87" s="4" t="s">
        <v>305</v>
      </c>
      <c r="C87" s="4" t="s">
        <v>40</v>
      </c>
      <c r="D87" s="4" t="s">
        <v>128</v>
      </c>
      <c r="E87" s="4" t="s">
        <v>306</v>
      </c>
      <c r="F87" s="3">
        <v>22</v>
      </c>
      <c r="G87" s="3">
        <v>10</v>
      </c>
      <c r="H87" s="3">
        <v>2015</v>
      </c>
      <c r="I87" s="4" t="s">
        <v>22</v>
      </c>
      <c r="J87" s="4" t="s">
        <v>40</v>
      </c>
      <c r="K87" s="4" t="s">
        <v>307</v>
      </c>
      <c r="L87" s="5" t="s">
        <v>24</v>
      </c>
      <c r="M87" s="3">
        <v>0</v>
      </c>
      <c r="N87" s="3">
        <v>0</v>
      </c>
      <c r="O87" s="3">
        <v>2</v>
      </c>
      <c r="P87" s="4"/>
      <c r="Q87" s="6">
        <f t="shared" si="0"/>
        <v>0</v>
      </c>
      <c r="R87" s="6">
        <f t="shared" si="1"/>
        <v>0</v>
      </c>
      <c r="S87" s="6">
        <f t="shared" si="2"/>
        <v>1</v>
      </c>
    </row>
    <row r="88" spans="1:19" x14ac:dyDescent="0.2">
      <c r="A88" s="3">
        <v>188363</v>
      </c>
      <c r="B88" s="4" t="s">
        <v>308</v>
      </c>
      <c r="C88" s="4" t="s">
        <v>40</v>
      </c>
      <c r="D88" s="4" t="s">
        <v>45</v>
      </c>
      <c r="E88" s="4" t="s">
        <v>309</v>
      </c>
      <c r="F88" s="3">
        <v>24</v>
      </c>
      <c r="G88" s="3">
        <v>6</v>
      </c>
      <c r="H88" s="3">
        <v>2021</v>
      </c>
      <c r="I88" s="4" t="s">
        <v>22</v>
      </c>
      <c r="J88" s="4" t="s">
        <v>40</v>
      </c>
      <c r="K88" s="4" t="s">
        <v>310</v>
      </c>
      <c r="L88" s="5" t="s">
        <v>24</v>
      </c>
      <c r="M88" s="3">
        <v>0</v>
      </c>
      <c r="N88" s="3">
        <v>0</v>
      </c>
      <c r="O88" s="3">
        <v>4</v>
      </c>
      <c r="P88" s="4"/>
      <c r="Q88" s="6">
        <f t="shared" si="0"/>
        <v>0</v>
      </c>
      <c r="R88" s="6">
        <f t="shared" si="1"/>
        <v>0</v>
      </c>
      <c r="S88" s="6">
        <f t="shared" si="2"/>
        <v>1</v>
      </c>
    </row>
    <row r="89" spans="1:19" x14ac:dyDescent="0.2">
      <c r="A89" s="3">
        <v>188392</v>
      </c>
      <c r="B89" s="4" t="s">
        <v>311</v>
      </c>
      <c r="C89" s="4" t="s">
        <v>40</v>
      </c>
      <c r="D89" s="4" t="s">
        <v>45</v>
      </c>
      <c r="E89" s="4" t="s">
        <v>312</v>
      </c>
      <c r="F89" s="3">
        <v>22</v>
      </c>
      <c r="G89" s="3">
        <v>7</v>
      </c>
      <c r="H89" s="3">
        <v>2021</v>
      </c>
      <c r="I89" s="4" t="s">
        <v>22</v>
      </c>
      <c r="J89" s="4" t="s">
        <v>40</v>
      </c>
      <c r="K89" s="4" t="s">
        <v>313</v>
      </c>
      <c r="L89" s="5" t="s">
        <v>24</v>
      </c>
      <c r="M89" s="3">
        <v>0</v>
      </c>
      <c r="N89" s="3">
        <v>0</v>
      </c>
      <c r="O89" s="3">
        <v>8</v>
      </c>
      <c r="P89" s="4"/>
      <c r="Q89" s="6">
        <f t="shared" si="0"/>
        <v>0</v>
      </c>
      <c r="R89" s="6">
        <f t="shared" si="1"/>
        <v>0</v>
      </c>
      <c r="S89" s="6">
        <f t="shared" si="2"/>
        <v>1</v>
      </c>
    </row>
    <row r="90" spans="1:19" x14ac:dyDescent="0.2">
      <c r="A90" s="3">
        <v>190657</v>
      </c>
      <c r="B90" s="4" t="s">
        <v>314</v>
      </c>
      <c r="C90" s="4" t="s">
        <v>40</v>
      </c>
      <c r="D90" s="4" t="s">
        <v>20</v>
      </c>
      <c r="E90" s="4" t="s">
        <v>315</v>
      </c>
      <c r="F90" s="3">
        <v>20</v>
      </c>
      <c r="G90" s="3">
        <v>4</v>
      </c>
      <c r="H90" s="3">
        <v>2023</v>
      </c>
      <c r="I90" s="4" t="s">
        <v>22</v>
      </c>
      <c r="J90" s="4" t="s">
        <v>40</v>
      </c>
      <c r="K90" s="4" t="s">
        <v>316</v>
      </c>
      <c r="L90" s="5" t="s">
        <v>24</v>
      </c>
      <c r="M90" s="3">
        <v>141</v>
      </c>
      <c r="N90" s="3">
        <v>17</v>
      </c>
      <c r="O90" s="3">
        <v>0</v>
      </c>
      <c r="P90" s="4"/>
      <c r="Q90" s="6">
        <f t="shared" si="0"/>
        <v>0.89240506329113922</v>
      </c>
      <c r="R90" s="6">
        <f t="shared" si="1"/>
        <v>0.10759493670886076</v>
      </c>
      <c r="S90" s="6">
        <f t="shared" si="2"/>
        <v>0</v>
      </c>
    </row>
    <row r="91" spans="1:19" x14ac:dyDescent="0.2">
      <c r="A91" s="3">
        <v>188398</v>
      </c>
      <c r="B91" s="4" t="s">
        <v>317</v>
      </c>
      <c r="C91" s="4" t="s">
        <v>40</v>
      </c>
      <c r="D91" s="4" t="s">
        <v>20</v>
      </c>
      <c r="E91" s="4" t="s">
        <v>318</v>
      </c>
      <c r="F91" s="3">
        <v>10</v>
      </c>
      <c r="G91" s="3">
        <v>6</v>
      </c>
      <c r="H91" s="3">
        <v>2021</v>
      </c>
      <c r="I91" s="4" t="s">
        <v>22</v>
      </c>
      <c r="J91" s="4" t="s">
        <v>40</v>
      </c>
      <c r="K91" s="4" t="s">
        <v>319</v>
      </c>
      <c r="L91" s="5" t="s">
        <v>24</v>
      </c>
      <c r="M91" s="3">
        <v>0</v>
      </c>
      <c r="N91" s="3">
        <v>0</v>
      </c>
      <c r="O91" s="3">
        <v>4</v>
      </c>
      <c r="P91" s="4"/>
      <c r="Q91" s="6">
        <f t="shared" si="0"/>
        <v>0</v>
      </c>
      <c r="R91" s="6">
        <f t="shared" si="1"/>
        <v>0</v>
      </c>
      <c r="S91" s="6">
        <f t="shared" si="2"/>
        <v>1</v>
      </c>
    </row>
    <row r="92" spans="1:19" x14ac:dyDescent="0.2">
      <c r="A92" s="3">
        <v>190846</v>
      </c>
      <c r="B92" s="4" t="s">
        <v>320</v>
      </c>
      <c r="C92" s="4" t="s">
        <v>40</v>
      </c>
      <c r="D92" s="4" t="s">
        <v>53</v>
      </c>
      <c r="E92" s="4" t="s">
        <v>321</v>
      </c>
      <c r="F92" s="3">
        <v>19</v>
      </c>
      <c r="G92" s="3">
        <v>6</v>
      </c>
      <c r="H92" s="3">
        <v>2023</v>
      </c>
      <c r="I92" s="4" t="s">
        <v>22</v>
      </c>
      <c r="J92" s="4" t="s">
        <v>40</v>
      </c>
      <c r="K92" s="4" t="s">
        <v>322</v>
      </c>
      <c r="L92" s="5" t="s">
        <v>24</v>
      </c>
      <c r="M92" s="3">
        <v>0</v>
      </c>
      <c r="N92" s="3">
        <v>0</v>
      </c>
      <c r="O92" s="3">
        <v>3</v>
      </c>
      <c r="P92" s="4"/>
      <c r="Q92" s="6">
        <f t="shared" si="0"/>
        <v>0</v>
      </c>
      <c r="R92" s="6">
        <f t="shared" si="1"/>
        <v>0</v>
      </c>
      <c r="S92" s="6">
        <f t="shared" si="2"/>
        <v>1</v>
      </c>
    </row>
    <row r="93" spans="1:19" x14ac:dyDescent="0.2">
      <c r="A93" s="3">
        <v>194022</v>
      </c>
      <c r="B93" s="4" t="s">
        <v>323</v>
      </c>
      <c r="C93" s="4" t="s">
        <v>40</v>
      </c>
      <c r="D93" s="4" t="s">
        <v>45</v>
      </c>
      <c r="E93" s="4" t="s">
        <v>324</v>
      </c>
      <c r="F93" s="3">
        <v>7</v>
      </c>
      <c r="G93" s="3">
        <v>11</v>
      </c>
      <c r="H93" s="3">
        <v>2024</v>
      </c>
      <c r="I93" s="4" t="s">
        <v>22</v>
      </c>
      <c r="J93" s="4" t="s">
        <v>40</v>
      </c>
      <c r="K93" s="4" t="s">
        <v>325</v>
      </c>
      <c r="L93" s="5" t="s">
        <v>24</v>
      </c>
      <c r="M93" s="3">
        <v>0</v>
      </c>
      <c r="N93" s="3">
        <v>0</v>
      </c>
      <c r="O93" s="3">
        <v>11</v>
      </c>
      <c r="P93" s="4"/>
      <c r="Q93" s="6">
        <f t="shared" si="0"/>
        <v>0</v>
      </c>
      <c r="R93" s="6">
        <f t="shared" si="1"/>
        <v>0</v>
      </c>
      <c r="S93" s="6">
        <f t="shared" si="2"/>
        <v>1</v>
      </c>
    </row>
    <row r="94" spans="1:19" x14ac:dyDescent="0.2">
      <c r="A94" s="3">
        <v>167139</v>
      </c>
      <c r="B94" s="4" t="s">
        <v>326</v>
      </c>
      <c r="C94" s="4" t="s">
        <v>40</v>
      </c>
      <c r="D94" s="4" t="s">
        <v>327</v>
      </c>
      <c r="E94" s="4" t="s">
        <v>328</v>
      </c>
      <c r="F94" s="3">
        <v>5</v>
      </c>
      <c r="G94" s="3">
        <v>8</v>
      </c>
      <c r="H94" s="3">
        <v>2008</v>
      </c>
      <c r="I94" s="4" t="s">
        <v>22</v>
      </c>
      <c r="J94" s="4" t="s">
        <v>40</v>
      </c>
      <c r="K94" s="4" t="s">
        <v>192</v>
      </c>
      <c r="L94" s="5" t="s">
        <v>24</v>
      </c>
      <c r="M94" s="3">
        <v>0</v>
      </c>
      <c r="N94" s="3">
        <v>0</v>
      </c>
      <c r="O94" s="3">
        <v>2</v>
      </c>
      <c r="P94" s="4"/>
      <c r="Q94" s="6">
        <f t="shared" si="0"/>
        <v>0</v>
      </c>
      <c r="R94" s="6">
        <f t="shared" si="1"/>
        <v>0</v>
      </c>
      <c r="S94" s="6">
        <f t="shared" si="2"/>
        <v>1</v>
      </c>
    </row>
    <row r="95" spans="1:19" x14ac:dyDescent="0.2">
      <c r="A95" s="3">
        <v>104979</v>
      </c>
      <c r="B95" s="4" t="s">
        <v>329</v>
      </c>
      <c r="C95" s="4" t="s">
        <v>40</v>
      </c>
      <c r="D95" s="4" t="s">
        <v>330</v>
      </c>
      <c r="E95" s="4" t="s">
        <v>331</v>
      </c>
      <c r="F95" s="3">
        <v>9</v>
      </c>
      <c r="G95" s="3">
        <v>7</v>
      </c>
      <c r="H95" s="3">
        <v>1992</v>
      </c>
      <c r="I95" s="4" t="s">
        <v>22</v>
      </c>
      <c r="J95" s="4" t="s">
        <v>40</v>
      </c>
      <c r="K95" s="4" t="s">
        <v>332</v>
      </c>
      <c r="L95" s="5" t="s">
        <v>24</v>
      </c>
      <c r="M95" s="3">
        <v>0</v>
      </c>
      <c r="N95" s="3">
        <v>0</v>
      </c>
      <c r="O95" s="3">
        <v>8</v>
      </c>
      <c r="P95" s="4"/>
      <c r="Q95" s="6">
        <f t="shared" si="0"/>
        <v>0</v>
      </c>
      <c r="R95" s="6">
        <f t="shared" si="1"/>
        <v>0</v>
      </c>
      <c r="S95" s="6">
        <f t="shared" si="2"/>
        <v>1</v>
      </c>
    </row>
    <row r="96" spans="1:19" x14ac:dyDescent="0.2">
      <c r="A96" s="3">
        <v>98146</v>
      </c>
      <c r="B96" s="4" t="s">
        <v>333</v>
      </c>
      <c r="C96" s="4" t="s">
        <v>40</v>
      </c>
      <c r="D96" s="4" t="s">
        <v>334</v>
      </c>
      <c r="E96" s="4" t="s">
        <v>86</v>
      </c>
      <c r="F96" s="3">
        <v>30</v>
      </c>
      <c r="G96" s="3">
        <v>8</v>
      </c>
      <c r="H96" s="3">
        <v>1991</v>
      </c>
      <c r="I96" s="4" t="s">
        <v>22</v>
      </c>
      <c r="J96" s="4" t="s">
        <v>40</v>
      </c>
      <c r="K96" s="4" t="s">
        <v>335</v>
      </c>
      <c r="L96" s="5" t="s">
        <v>24</v>
      </c>
      <c r="M96" s="3">
        <v>0</v>
      </c>
      <c r="N96" s="3">
        <v>0</v>
      </c>
      <c r="O96" s="3">
        <v>0</v>
      </c>
      <c r="P96" s="4"/>
      <c r="Q96" s="6" t="e">
        <f t="shared" si="0"/>
        <v>#DIV/0!</v>
      </c>
      <c r="R96" s="6" t="e">
        <f t="shared" si="1"/>
        <v>#DIV/0!</v>
      </c>
      <c r="S96" s="6" t="e">
        <f t="shared" si="2"/>
        <v>#DIV/0!</v>
      </c>
    </row>
    <row r="97" spans="1:19" x14ac:dyDescent="0.2">
      <c r="A97" s="3">
        <v>185097</v>
      </c>
      <c r="B97" s="4" t="s">
        <v>336</v>
      </c>
      <c r="C97" s="4" t="s">
        <v>40</v>
      </c>
      <c r="D97" s="4" t="s">
        <v>337</v>
      </c>
      <c r="E97" s="4" t="s">
        <v>338</v>
      </c>
      <c r="F97" s="3">
        <v>28</v>
      </c>
      <c r="G97" s="3">
        <v>9</v>
      </c>
      <c r="H97" s="3">
        <v>2017</v>
      </c>
      <c r="I97" s="4" t="s">
        <v>22</v>
      </c>
      <c r="J97" s="4" t="s">
        <v>40</v>
      </c>
      <c r="K97" s="4" t="s">
        <v>265</v>
      </c>
      <c r="L97" s="5" t="s">
        <v>24</v>
      </c>
      <c r="M97" s="3">
        <v>0</v>
      </c>
      <c r="N97" s="3">
        <v>0</v>
      </c>
      <c r="O97" s="3">
        <v>0</v>
      </c>
      <c r="P97" s="4"/>
      <c r="Q97" s="6" t="e">
        <f t="shared" si="0"/>
        <v>#DIV/0!</v>
      </c>
      <c r="R97" s="6" t="e">
        <f t="shared" si="1"/>
        <v>#DIV/0!</v>
      </c>
      <c r="S97" s="6" t="e">
        <f t="shared" si="2"/>
        <v>#DIV/0!</v>
      </c>
    </row>
    <row r="98" spans="1:19" x14ac:dyDescent="0.2">
      <c r="A98" s="3">
        <v>177026</v>
      </c>
      <c r="B98" s="4" t="s">
        <v>339</v>
      </c>
      <c r="C98" s="4" t="s">
        <v>40</v>
      </c>
      <c r="D98" s="4" t="s">
        <v>340</v>
      </c>
      <c r="E98" s="4" t="s">
        <v>341</v>
      </c>
      <c r="F98" s="3">
        <v>1</v>
      </c>
      <c r="G98" s="3">
        <v>7</v>
      </c>
      <c r="H98" s="3">
        <v>2013</v>
      </c>
      <c r="I98" s="4" t="s">
        <v>22</v>
      </c>
      <c r="J98" s="4" t="s">
        <v>40</v>
      </c>
      <c r="K98" s="4" t="s">
        <v>342</v>
      </c>
      <c r="L98" s="5" t="s">
        <v>24</v>
      </c>
      <c r="M98" s="3">
        <v>0</v>
      </c>
      <c r="N98" s="3">
        <v>0</v>
      </c>
      <c r="O98" s="3">
        <v>6</v>
      </c>
      <c r="P98" s="4"/>
      <c r="Q98" s="6">
        <f t="shared" si="0"/>
        <v>0</v>
      </c>
      <c r="R98" s="6">
        <f t="shared" si="1"/>
        <v>0</v>
      </c>
      <c r="S98" s="6">
        <f t="shared" si="2"/>
        <v>1</v>
      </c>
    </row>
    <row r="99" spans="1:19" x14ac:dyDescent="0.2">
      <c r="A99" s="3">
        <v>174551</v>
      </c>
      <c r="B99" s="4" t="s">
        <v>343</v>
      </c>
      <c r="C99" s="4" t="s">
        <v>40</v>
      </c>
      <c r="D99" s="4" t="s">
        <v>137</v>
      </c>
      <c r="E99" s="4" t="s">
        <v>344</v>
      </c>
      <c r="F99" s="3">
        <v>6</v>
      </c>
      <c r="G99" s="3">
        <v>6</v>
      </c>
      <c r="H99" s="3">
        <v>2012</v>
      </c>
      <c r="I99" s="4" t="s">
        <v>22</v>
      </c>
      <c r="J99" s="4" t="s">
        <v>40</v>
      </c>
      <c r="K99" s="4" t="s">
        <v>274</v>
      </c>
      <c r="L99" s="5" t="s">
        <v>24</v>
      </c>
      <c r="M99" s="3">
        <v>0</v>
      </c>
      <c r="N99" s="3">
        <v>0</v>
      </c>
      <c r="O99" s="3">
        <v>18</v>
      </c>
      <c r="P99" s="4"/>
      <c r="Q99" s="6">
        <f t="shared" si="0"/>
        <v>0</v>
      </c>
      <c r="R99" s="6">
        <f t="shared" si="1"/>
        <v>0</v>
      </c>
      <c r="S99" s="6">
        <f t="shared" si="2"/>
        <v>1</v>
      </c>
    </row>
    <row r="100" spans="1:19" x14ac:dyDescent="0.2">
      <c r="A100" s="3">
        <v>167137</v>
      </c>
      <c r="B100" s="4" t="s">
        <v>345</v>
      </c>
      <c r="C100" s="4" t="s">
        <v>40</v>
      </c>
      <c r="D100" s="4" t="s">
        <v>327</v>
      </c>
      <c r="E100" s="4" t="s">
        <v>346</v>
      </c>
      <c r="F100" s="3">
        <v>5</v>
      </c>
      <c r="G100" s="3">
        <v>8</v>
      </c>
      <c r="H100" s="3">
        <v>2008</v>
      </c>
      <c r="I100" s="4" t="s">
        <v>22</v>
      </c>
      <c r="J100" s="4" t="s">
        <v>40</v>
      </c>
      <c r="K100" s="4" t="s">
        <v>347</v>
      </c>
      <c r="L100" s="5" t="s">
        <v>24</v>
      </c>
      <c r="M100" s="3">
        <v>0</v>
      </c>
      <c r="N100" s="3">
        <v>0</v>
      </c>
      <c r="O100" s="3">
        <v>1</v>
      </c>
      <c r="P100" s="4"/>
      <c r="Q100" s="6">
        <f t="shared" si="0"/>
        <v>0</v>
      </c>
      <c r="R100" s="6">
        <f t="shared" si="1"/>
        <v>0</v>
      </c>
      <c r="S100" s="6">
        <f t="shared" si="2"/>
        <v>1</v>
      </c>
    </row>
    <row r="101" spans="1:19" x14ac:dyDescent="0.2">
      <c r="A101" s="3">
        <v>95904</v>
      </c>
      <c r="B101" s="4" t="s">
        <v>348</v>
      </c>
      <c r="C101" s="4" t="s">
        <v>40</v>
      </c>
      <c r="D101" s="4" t="s">
        <v>221</v>
      </c>
      <c r="E101" s="4" t="s">
        <v>349</v>
      </c>
      <c r="F101" s="3">
        <v>31</v>
      </c>
      <c r="G101" s="3">
        <v>8</v>
      </c>
      <c r="H101" s="3">
        <v>1990</v>
      </c>
      <c r="I101" s="4" t="s">
        <v>22</v>
      </c>
      <c r="J101" s="4" t="s">
        <v>40</v>
      </c>
      <c r="K101" s="4" t="s">
        <v>350</v>
      </c>
      <c r="L101" s="5" t="s">
        <v>24</v>
      </c>
      <c r="M101" s="3">
        <v>0</v>
      </c>
      <c r="N101" s="3">
        <v>0</v>
      </c>
      <c r="O101" s="3">
        <v>3</v>
      </c>
      <c r="P101" s="4"/>
      <c r="Q101" s="6">
        <f t="shared" si="0"/>
        <v>0</v>
      </c>
      <c r="R101" s="6">
        <f t="shared" si="1"/>
        <v>0</v>
      </c>
      <c r="S101" s="6">
        <f t="shared" si="2"/>
        <v>1</v>
      </c>
    </row>
    <row r="102" spans="1:19" x14ac:dyDescent="0.2">
      <c r="A102" s="3">
        <v>175477</v>
      </c>
      <c r="B102" s="4" t="s">
        <v>351</v>
      </c>
      <c r="C102" s="4" t="s">
        <v>40</v>
      </c>
      <c r="D102" s="4" t="s">
        <v>128</v>
      </c>
      <c r="E102" s="4" t="s">
        <v>352</v>
      </c>
      <c r="F102" s="3">
        <v>6</v>
      </c>
      <c r="G102" s="3">
        <v>9</v>
      </c>
      <c r="H102" s="3">
        <v>2012</v>
      </c>
      <c r="I102" s="4" t="s">
        <v>22</v>
      </c>
      <c r="J102" s="4" t="s">
        <v>40</v>
      </c>
      <c r="K102" s="4" t="s">
        <v>353</v>
      </c>
      <c r="L102" s="5" t="s">
        <v>24</v>
      </c>
      <c r="M102" s="3">
        <v>0</v>
      </c>
      <c r="N102" s="3">
        <v>0</v>
      </c>
      <c r="O102" s="3">
        <v>8</v>
      </c>
      <c r="P102" s="4"/>
      <c r="Q102" s="6">
        <f t="shared" si="0"/>
        <v>0</v>
      </c>
      <c r="R102" s="6">
        <f t="shared" si="1"/>
        <v>0</v>
      </c>
      <c r="S102" s="6">
        <f t="shared" si="2"/>
        <v>1</v>
      </c>
    </row>
    <row r="103" spans="1:19" x14ac:dyDescent="0.2">
      <c r="A103" s="3">
        <v>159654</v>
      </c>
      <c r="B103" s="4" t="s">
        <v>354</v>
      </c>
      <c r="C103" s="4" t="s">
        <v>40</v>
      </c>
      <c r="D103" s="4" t="s">
        <v>355</v>
      </c>
      <c r="E103" s="4" t="s">
        <v>356</v>
      </c>
      <c r="F103" s="3">
        <v>9</v>
      </c>
      <c r="G103" s="3">
        <v>8</v>
      </c>
      <c r="H103" s="3">
        <v>2005</v>
      </c>
      <c r="I103" s="4" t="s">
        <v>22</v>
      </c>
      <c r="J103" s="4" t="s">
        <v>40</v>
      </c>
      <c r="K103" s="4" t="s">
        <v>357</v>
      </c>
      <c r="L103" s="5" t="s">
        <v>24</v>
      </c>
      <c r="M103" s="3">
        <v>0</v>
      </c>
      <c r="N103" s="3">
        <v>0</v>
      </c>
      <c r="O103" s="3">
        <v>5</v>
      </c>
      <c r="P103" s="4"/>
      <c r="Q103" s="6">
        <f t="shared" si="0"/>
        <v>0</v>
      </c>
      <c r="R103" s="6">
        <f t="shared" si="1"/>
        <v>0</v>
      </c>
      <c r="S103" s="6">
        <f t="shared" si="2"/>
        <v>1</v>
      </c>
    </row>
    <row r="104" spans="1:19" x14ac:dyDescent="0.2">
      <c r="A104" s="3">
        <v>13914</v>
      </c>
      <c r="B104" s="4" t="s">
        <v>358</v>
      </c>
      <c r="C104" s="4" t="s">
        <v>40</v>
      </c>
      <c r="D104" s="4" t="s">
        <v>96</v>
      </c>
      <c r="E104" s="4" t="s">
        <v>86</v>
      </c>
      <c r="F104" s="3">
        <v>3</v>
      </c>
      <c r="G104" s="3">
        <v>7</v>
      </c>
      <c r="H104" s="3">
        <v>1971</v>
      </c>
      <c r="I104" s="4" t="s">
        <v>22</v>
      </c>
      <c r="J104" s="4" t="s">
        <v>40</v>
      </c>
      <c r="K104" s="4" t="s">
        <v>359</v>
      </c>
      <c r="L104" s="5" t="s">
        <v>24</v>
      </c>
      <c r="M104" s="3">
        <v>0</v>
      </c>
      <c r="N104" s="3">
        <v>0</v>
      </c>
      <c r="O104" s="3">
        <v>0</v>
      </c>
      <c r="P104" s="4"/>
      <c r="Q104" s="6" t="e">
        <f t="shared" si="0"/>
        <v>#DIV/0!</v>
      </c>
      <c r="R104" s="6" t="e">
        <f t="shared" si="1"/>
        <v>#DIV/0!</v>
      </c>
      <c r="S104" s="6" t="e">
        <f t="shared" si="2"/>
        <v>#DIV/0!</v>
      </c>
    </row>
    <row r="105" spans="1:19" x14ac:dyDescent="0.2">
      <c r="A105" s="3">
        <v>175310</v>
      </c>
      <c r="B105" s="4" t="s">
        <v>360</v>
      </c>
      <c r="C105" s="4" t="s">
        <v>40</v>
      </c>
      <c r="D105" s="4" t="s">
        <v>20</v>
      </c>
      <c r="E105" s="4" t="s">
        <v>361</v>
      </c>
      <c r="F105" s="3">
        <v>28</v>
      </c>
      <c r="G105" s="3">
        <v>8</v>
      </c>
      <c r="H105" s="3">
        <v>2012</v>
      </c>
      <c r="I105" s="4" t="s">
        <v>22</v>
      </c>
      <c r="J105" s="4" t="s">
        <v>40</v>
      </c>
      <c r="K105" s="4" t="s">
        <v>362</v>
      </c>
      <c r="L105" s="5" t="s">
        <v>24</v>
      </c>
      <c r="M105" s="3">
        <v>0</v>
      </c>
      <c r="N105" s="3">
        <v>0</v>
      </c>
      <c r="O105" s="3">
        <v>3</v>
      </c>
      <c r="P105" s="4"/>
      <c r="Q105" s="6">
        <f t="shared" si="0"/>
        <v>0</v>
      </c>
      <c r="R105" s="6">
        <f t="shared" si="1"/>
        <v>0</v>
      </c>
      <c r="S105" s="6">
        <f t="shared" si="2"/>
        <v>1</v>
      </c>
    </row>
    <row r="106" spans="1:19" x14ac:dyDescent="0.2">
      <c r="A106" s="3">
        <v>172712</v>
      </c>
      <c r="B106" s="4" t="s">
        <v>363</v>
      </c>
      <c r="C106" s="4" t="s">
        <v>40</v>
      </c>
      <c r="D106" s="4" t="s">
        <v>364</v>
      </c>
      <c r="E106" s="4" t="s">
        <v>365</v>
      </c>
      <c r="F106" s="3">
        <v>9</v>
      </c>
      <c r="G106" s="3">
        <v>5</v>
      </c>
      <c r="H106" s="3">
        <v>2011</v>
      </c>
      <c r="I106" s="4" t="s">
        <v>22</v>
      </c>
      <c r="J106" s="4" t="s">
        <v>40</v>
      </c>
      <c r="K106" s="4" t="s">
        <v>366</v>
      </c>
      <c r="L106" s="5" t="s">
        <v>24</v>
      </c>
      <c r="M106" s="3">
        <v>119</v>
      </c>
      <c r="N106" s="3">
        <v>24</v>
      </c>
      <c r="O106" s="3">
        <v>0</v>
      </c>
      <c r="P106" s="4"/>
      <c r="Q106" s="6">
        <f t="shared" si="0"/>
        <v>0.83216783216783219</v>
      </c>
      <c r="R106" s="6">
        <f t="shared" si="1"/>
        <v>0.16783216783216784</v>
      </c>
      <c r="S106" s="6">
        <f t="shared" si="2"/>
        <v>0</v>
      </c>
    </row>
    <row r="107" spans="1:19" x14ac:dyDescent="0.2">
      <c r="A107" s="3">
        <v>175442</v>
      </c>
      <c r="B107" s="4" t="s">
        <v>367</v>
      </c>
      <c r="C107" s="4" t="s">
        <v>40</v>
      </c>
      <c r="D107" s="4" t="s">
        <v>368</v>
      </c>
      <c r="E107" s="4" t="s">
        <v>369</v>
      </c>
      <c r="F107" s="3">
        <v>25</v>
      </c>
      <c r="G107" s="3">
        <v>9</v>
      </c>
      <c r="H107" s="3">
        <v>2012</v>
      </c>
      <c r="I107" s="4" t="s">
        <v>22</v>
      </c>
      <c r="J107" s="4" t="s">
        <v>40</v>
      </c>
      <c r="K107" s="4" t="s">
        <v>370</v>
      </c>
      <c r="L107" s="5" t="s">
        <v>24</v>
      </c>
      <c r="M107" s="3">
        <v>0</v>
      </c>
      <c r="N107" s="3">
        <v>0</v>
      </c>
      <c r="O107" s="3">
        <v>4</v>
      </c>
      <c r="P107" s="4"/>
      <c r="Q107" s="6">
        <f t="shared" si="0"/>
        <v>0</v>
      </c>
      <c r="R107" s="6">
        <f t="shared" si="1"/>
        <v>0</v>
      </c>
      <c r="S107" s="6">
        <f t="shared" si="2"/>
        <v>1</v>
      </c>
    </row>
    <row r="108" spans="1:19" x14ac:dyDescent="0.2">
      <c r="A108" s="3">
        <v>96308</v>
      </c>
      <c r="B108" s="4" t="s">
        <v>371</v>
      </c>
      <c r="C108" s="4" t="s">
        <v>40</v>
      </c>
      <c r="D108" s="4" t="s">
        <v>221</v>
      </c>
      <c r="E108" s="4" t="s">
        <v>372</v>
      </c>
      <c r="F108" s="3">
        <v>31</v>
      </c>
      <c r="G108" s="3">
        <v>8</v>
      </c>
      <c r="H108" s="3">
        <v>1990</v>
      </c>
      <c r="I108" s="4" t="s">
        <v>22</v>
      </c>
      <c r="J108" s="4" t="s">
        <v>40</v>
      </c>
      <c r="K108" s="4" t="s">
        <v>373</v>
      </c>
      <c r="L108" s="5" t="s">
        <v>24</v>
      </c>
      <c r="M108" s="3">
        <v>0</v>
      </c>
      <c r="N108" s="3">
        <v>0</v>
      </c>
      <c r="O108" s="3">
        <v>44</v>
      </c>
      <c r="P108" s="4"/>
      <c r="Q108" s="6">
        <f t="shared" si="0"/>
        <v>0</v>
      </c>
      <c r="R108" s="6">
        <f t="shared" si="1"/>
        <v>0</v>
      </c>
      <c r="S108" s="6">
        <f t="shared" si="2"/>
        <v>1</v>
      </c>
    </row>
    <row r="109" spans="1:19" x14ac:dyDescent="0.2">
      <c r="A109" s="3">
        <v>168377</v>
      </c>
      <c r="B109" s="4" t="s">
        <v>374</v>
      </c>
      <c r="C109" s="4" t="s">
        <v>40</v>
      </c>
      <c r="D109" s="4" t="s">
        <v>375</v>
      </c>
      <c r="E109" s="4" t="s">
        <v>376</v>
      </c>
      <c r="F109" s="3">
        <v>26</v>
      </c>
      <c r="G109" s="3">
        <v>7</v>
      </c>
      <c r="H109" s="3">
        <v>2010</v>
      </c>
      <c r="I109" s="4" t="s">
        <v>22</v>
      </c>
      <c r="J109" s="4" t="s">
        <v>40</v>
      </c>
      <c r="K109" s="4" t="s">
        <v>377</v>
      </c>
      <c r="L109" s="5" t="s">
        <v>24</v>
      </c>
      <c r="M109" s="3">
        <v>0</v>
      </c>
      <c r="N109" s="3">
        <v>0</v>
      </c>
      <c r="O109" s="3">
        <v>3</v>
      </c>
      <c r="P109" s="4"/>
      <c r="Q109" s="6">
        <f t="shared" si="0"/>
        <v>0</v>
      </c>
      <c r="R109" s="6">
        <f t="shared" si="1"/>
        <v>0</v>
      </c>
      <c r="S109" s="6">
        <f t="shared" si="2"/>
        <v>1</v>
      </c>
    </row>
    <row r="110" spans="1:19" x14ac:dyDescent="0.2">
      <c r="A110" s="3">
        <v>80381</v>
      </c>
      <c r="B110" s="4" t="s">
        <v>378</v>
      </c>
      <c r="C110" s="4" t="s">
        <v>40</v>
      </c>
      <c r="D110" s="4" t="s">
        <v>379</v>
      </c>
      <c r="E110" s="4" t="s">
        <v>380</v>
      </c>
      <c r="F110" s="3">
        <v>5</v>
      </c>
      <c r="G110" s="3">
        <v>7</v>
      </c>
      <c r="H110" s="3">
        <v>1988</v>
      </c>
      <c r="I110" s="4" t="s">
        <v>22</v>
      </c>
      <c r="J110" s="4" t="s">
        <v>40</v>
      </c>
      <c r="K110" s="4" t="s">
        <v>76</v>
      </c>
      <c r="L110" s="5" t="s">
        <v>24</v>
      </c>
      <c r="M110" s="3">
        <v>0</v>
      </c>
      <c r="N110" s="3">
        <v>0</v>
      </c>
      <c r="O110" s="3">
        <v>7</v>
      </c>
      <c r="P110" s="4"/>
      <c r="Q110" s="6">
        <f t="shared" si="0"/>
        <v>0</v>
      </c>
      <c r="R110" s="6">
        <f t="shared" si="1"/>
        <v>0</v>
      </c>
      <c r="S110" s="6">
        <f t="shared" si="2"/>
        <v>1</v>
      </c>
    </row>
    <row r="111" spans="1:19" x14ac:dyDescent="0.2">
      <c r="A111" s="3">
        <v>172617</v>
      </c>
      <c r="B111" s="4" t="s">
        <v>381</v>
      </c>
      <c r="C111" s="4" t="s">
        <v>40</v>
      </c>
      <c r="D111" s="4" t="s">
        <v>337</v>
      </c>
      <c r="E111" s="4" t="s">
        <v>382</v>
      </c>
      <c r="F111" s="3">
        <v>5</v>
      </c>
      <c r="G111" s="3">
        <v>5</v>
      </c>
      <c r="H111" s="3">
        <v>2011</v>
      </c>
      <c r="I111" s="4" t="s">
        <v>22</v>
      </c>
      <c r="J111" s="4" t="s">
        <v>40</v>
      </c>
      <c r="K111" s="4" t="s">
        <v>383</v>
      </c>
      <c r="L111" s="5" t="s">
        <v>24</v>
      </c>
      <c r="M111" s="3">
        <v>82</v>
      </c>
      <c r="N111" s="3">
        <v>3</v>
      </c>
      <c r="O111" s="3">
        <v>0</v>
      </c>
      <c r="P111" s="4"/>
      <c r="Q111" s="6">
        <f t="shared" si="0"/>
        <v>0.96470588235294119</v>
      </c>
      <c r="R111" s="6">
        <f t="shared" si="1"/>
        <v>3.5294117647058823E-2</v>
      </c>
      <c r="S111" s="6">
        <f t="shared" si="2"/>
        <v>0</v>
      </c>
    </row>
    <row r="112" spans="1:19" x14ac:dyDescent="0.2">
      <c r="A112" s="3">
        <v>164172</v>
      </c>
      <c r="B112" s="4" t="s">
        <v>384</v>
      </c>
      <c r="C112" s="4" t="s">
        <v>40</v>
      </c>
      <c r="D112" s="4" t="s">
        <v>133</v>
      </c>
      <c r="E112" s="4" t="s">
        <v>385</v>
      </c>
      <c r="F112" s="3">
        <v>8</v>
      </c>
      <c r="G112" s="3">
        <v>8</v>
      </c>
      <c r="H112" s="3">
        <v>2007</v>
      </c>
      <c r="I112" s="4" t="s">
        <v>22</v>
      </c>
      <c r="J112" s="4" t="s">
        <v>40</v>
      </c>
      <c r="K112" s="4" t="s">
        <v>386</v>
      </c>
      <c r="L112" s="5" t="s">
        <v>24</v>
      </c>
      <c r="M112" s="3">
        <v>0</v>
      </c>
      <c r="N112" s="3">
        <v>0</v>
      </c>
      <c r="O112" s="3">
        <v>4</v>
      </c>
      <c r="P112" s="4"/>
      <c r="Q112" s="6">
        <f t="shared" si="0"/>
        <v>0</v>
      </c>
      <c r="R112" s="6">
        <f t="shared" si="1"/>
        <v>0</v>
      </c>
      <c r="S112" s="6">
        <f t="shared" si="2"/>
        <v>1</v>
      </c>
    </row>
    <row r="113" spans="1:19" x14ac:dyDescent="0.2">
      <c r="A113" s="3">
        <v>13919</v>
      </c>
      <c r="B113" s="4" t="s">
        <v>387</v>
      </c>
      <c r="C113" s="4" t="s">
        <v>40</v>
      </c>
      <c r="D113" s="4" t="s">
        <v>96</v>
      </c>
      <c r="E113" s="4" t="s">
        <v>86</v>
      </c>
      <c r="F113" s="3">
        <v>28</v>
      </c>
      <c r="G113" s="3">
        <v>7</v>
      </c>
      <c r="H113" s="3">
        <v>1971</v>
      </c>
      <c r="I113" s="4" t="s">
        <v>22</v>
      </c>
      <c r="J113" s="4" t="s">
        <v>40</v>
      </c>
      <c r="K113" s="4" t="s">
        <v>388</v>
      </c>
      <c r="L113" s="5" t="s">
        <v>24</v>
      </c>
      <c r="M113" s="3">
        <v>0</v>
      </c>
      <c r="N113" s="3">
        <v>0</v>
      </c>
      <c r="O113" s="3">
        <v>20</v>
      </c>
      <c r="P113" s="4"/>
      <c r="Q113" s="6">
        <f t="shared" si="0"/>
        <v>0</v>
      </c>
      <c r="R113" s="6">
        <f t="shared" si="1"/>
        <v>0</v>
      </c>
      <c r="S113" s="6">
        <f t="shared" si="2"/>
        <v>1</v>
      </c>
    </row>
    <row r="114" spans="1:19" x14ac:dyDescent="0.2">
      <c r="A114" s="3">
        <v>151859</v>
      </c>
      <c r="B114" s="4" t="s">
        <v>389</v>
      </c>
      <c r="C114" s="4" t="s">
        <v>40</v>
      </c>
      <c r="D114" s="4" t="s">
        <v>260</v>
      </c>
      <c r="E114" s="4" t="s">
        <v>390</v>
      </c>
      <c r="F114" s="3">
        <v>23</v>
      </c>
      <c r="G114" s="3">
        <v>4</v>
      </c>
      <c r="H114" s="3">
        <v>2001</v>
      </c>
      <c r="I114" s="4" t="s">
        <v>22</v>
      </c>
      <c r="J114" s="4" t="s">
        <v>40</v>
      </c>
      <c r="K114" s="4" t="s">
        <v>391</v>
      </c>
      <c r="L114" s="5" t="s">
        <v>24</v>
      </c>
      <c r="M114" s="3">
        <v>137</v>
      </c>
      <c r="N114" s="3">
        <v>0</v>
      </c>
      <c r="O114" s="3">
        <v>0</v>
      </c>
      <c r="P114" s="4"/>
      <c r="Q114" s="6">
        <f t="shared" si="0"/>
        <v>1</v>
      </c>
      <c r="R114" s="6">
        <f t="shared" si="1"/>
        <v>0</v>
      </c>
      <c r="S114" s="6">
        <f t="shared" si="2"/>
        <v>0</v>
      </c>
    </row>
    <row r="115" spans="1:19" x14ac:dyDescent="0.2">
      <c r="A115" s="3">
        <v>171378</v>
      </c>
      <c r="B115" s="4" t="s">
        <v>392</v>
      </c>
      <c r="C115" s="4" t="s">
        <v>40</v>
      </c>
      <c r="D115" s="4" t="s">
        <v>364</v>
      </c>
      <c r="E115" s="4" t="s">
        <v>393</v>
      </c>
      <c r="F115" s="3">
        <v>18</v>
      </c>
      <c r="G115" s="3">
        <v>10</v>
      </c>
      <c r="H115" s="3">
        <v>2010</v>
      </c>
      <c r="I115" s="4" t="s">
        <v>22</v>
      </c>
      <c r="J115" s="4" t="s">
        <v>40</v>
      </c>
      <c r="K115" s="4" t="s">
        <v>394</v>
      </c>
      <c r="L115" s="5" t="s">
        <v>24</v>
      </c>
      <c r="M115" s="3">
        <v>0</v>
      </c>
      <c r="N115" s="3">
        <v>0</v>
      </c>
      <c r="O115" s="3">
        <v>5</v>
      </c>
      <c r="P115" s="4"/>
      <c r="Q115" s="6">
        <f t="shared" si="0"/>
        <v>0</v>
      </c>
      <c r="R115" s="6">
        <f t="shared" si="1"/>
        <v>0</v>
      </c>
      <c r="S115" s="6">
        <f t="shared" si="2"/>
        <v>1</v>
      </c>
    </row>
    <row r="116" spans="1:19" x14ac:dyDescent="0.2">
      <c r="A116" s="3">
        <v>174552</v>
      </c>
      <c r="B116" s="4" t="s">
        <v>395</v>
      </c>
      <c r="C116" s="4" t="s">
        <v>40</v>
      </c>
      <c r="D116" s="4" t="s">
        <v>234</v>
      </c>
      <c r="E116" s="4" t="s">
        <v>396</v>
      </c>
      <c r="F116" s="3">
        <v>6</v>
      </c>
      <c r="G116" s="3">
        <v>6</v>
      </c>
      <c r="H116" s="3">
        <v>2012</v>
      </c>
      <c r="I116" s="4" t="s">
        <v>22</v>
      </c>
      <c r="J116" s="4" t="s">
        <v>40</v>
      </c>
      <c r="K116" s="4" t="s">
        <v>226</v>
      </c>
      <c r="L116" s="5" t="s">
        <v>24</v>
      </c>
      <c r="M116" s="3">
        <v>0</v>
      </c>
      <c r="N116" s="3">
        <v>0</v>
      </c>
      <c r="O116" s="3">
        <v>5</v>
      </c>
      <c r="P116" s="4"/>
      <c r="Q116" s="6">
        <f t="shared" si="0"/>
        <v>0</v>
      </c>
      <c r="R116" s="6">
        <f t="shared" si="1"/>
        <v>0</v>
      </c>
      <c r="S116" s="6">
        <f t="shared" si="2"/>
        <v>1</v>
      </c>
    </row>
    <row r="117" spans="1:19" x14ac:dyDescent="0.2">
      <c r="A117" s="3">
        <v>172325</v>
      </c>
      <c r="B117" s="4" t="s">
        <v>397</v>
      </c>
      <c r="C117" s="4" t="s">
        <v>40</v>
      </c>
      <c r="D117" s="4" t="s">
        <v>364</v>
      </c>
      <c r="E117" s="4" t="s">
        <v>398</v>
      </c>
      <c r="F117" s="3">
        <v>15</v>
      </c>
      <c r="G117" s="3">
        <v>8</v>
      </c>
      <c r="H117" s="3">
        <v>2011</v>
      </c>
      <c r="I117" s="4" t="s">
        <v>22</v>
      </c>
      <c r="J117" s="4" t="s">
        <v>40</v>
      </c>
      <c r="K117" s="4" t="s">
        <v>399</v>
      </c>
      <c r="L117" s="5" t="s">
        <v>24</v>
      </c>
      <c r="M117" s="3">
        <v>0</v>
      </c>
      <c r="N117" s="3">
        <v>0</v>
      </c>
      <c r="O117" s="3">
        <v>3</v>
      </c>
      <c r="P117" s="4"/>
      <c r="Q117" s="6">
        <f t="shared" si="0"/>
        <v>0</v>
      </c>
      <c r="R117" s="6">
        <f t="shared" si="1"/>
        <v>0</v>
      </c>
      <c r="S117" s="6">
        <f t="shared" si="2"/>
        <v>1</v>
      </c>
    </row>
    <row r="118" spans="1:19" x14ac:dyDescent="0.2">
      <c r="A118" s="3">
        <v>172327</v>
      </c>
      <c r="B118" s="4" t="s">
        <v>400</v>
      </c>
      <c r="C118" s="4" t="s">
        <v>40</v>
      </c>
      <c r="D118" s="4" t="s">
        <v>364</v>
      </c>
      <c r="E118" s="4" t="s">
        <v>401</v>
      </c>
      <c r="F118" s="3">
        <v>15</v>
      </c>
      <c r="G118" s="3">
        <v>8</v>
      </c>
      <c r="H118" s="3">
        <v>2011</v>
      </c>
      <c r="I118" s="4" t="s">
        <v>22</v>
      </c>
      <c r="J118" s="4" t="s">
        <v>40</v>
      </c>
      <c r="K118" s="4" t="s">
        <v>402</v>
      </c>
      <c r="L118" s="5" t="s">
        <v>24</v>
      </c>
      <c r="M118" s="3">
        <v>0</v>
      </c>
      <c r="N118" s="3">
        <v>0</v>
      </c>
      <c r="O118" s="3">
        <v>4</v>
      </c>
      <c r="P118" s="4"/>
      <c r="Q118" s="6">
        <f t="shared" si="0"/>
        <v>0</v>
      </c>
      <c r="R118" s="6">
        <f t="shared" si="1"/>
        <v>0</v>
      </c>
      <c r="S118" s="6">
        <f t="shared" si="2"/>
        <v>1</v>
      </c>
    </row>
    <row r="119" spans="1:19" x14ac:dyDescent="0.2">
      <c r="A119" s="3">
        <v>169880</v>
      </c>
      <c r="B119" s="4" t="s">
        <v>403</v>
      </c>
      <c r="C119" s="4" t="s">
        <v>40</v>
      </c>
      <c r="D119" s="4" t="s">
        <v>404</v>
      </c>
      <c r="E119" s="4" t="s">
        <v>405</v>
      </c>
      <c r="F119" s="3">
        <v>6</v>
      </c>
      <c r="G119" s="3">
        <v>8</v>
      </c>
      <c r="H119" s="3">
        <v>2009</v>
      </c>
      <c r="I119" s="4" t="s">
        <v>22</v>
      </c>
      <c r="J119" s="4" t="s">
        <v>40</v>
      </c>
      <c r="K119" s="4" t="s">
        <v>202</v>
      </c>
      <c r="L119" s="5" t="s">
        <v>24</v>
      </c>
      <c r="M119" s="3">
        <v>0</v>
      </c>
      <c r="N119" s="3">
        <v>0</v>
      </c>
      <c r="O119" s="3">
        <v>2</v>
      </c>
      <c r="P119" s="4"/>
      <c r="Q119" s="6">
        <f t="shared" si="0"/>
        <v>0</v>
      </c>
      <c r="R119" s="6">
        <f t="shared" si="1"/>
        <v>0</v>
      </c>
      <c r="S119" s="6">
        <f t="shared" si="2"/>
        <v>1</v>
      </c>
    </row>
    <row r="120" spans="1:19" x14ac:dyDescent="0.2">
      <c r="A120" s="3">
        <v>97408</v>
      </c>
      <c r="B120" s="4" t="s">
        <v>406</v>
      </c>
      <c r="C120" s="4" t="s">
        <v>40</v>
      </c>
      <c r="D120" s="4" t="s">
        <v>221</v>
      </c>
      <c r="E120" s="4" t="s">
        <v>407</v>
      </c>
      <c r="F120" s="3">
        <v>16</v>
      </c>
      <c r="G120" s="3">
        <v>4</v>
      </c>
      <c r="H120" s="3">
        <v>1991</v>
      </c>
      <c r="I120" s="4" t="s">
        <v>22</v>
      </c>
      <c r="J120" s="4" t="s">
        <v>40</v>
      </c>
      <c r="K120" s="4" t="s">
        <v>408</v>
      </c>
      <c r="L120" s="5" t="s">
        <v>24</v>
      </c>
      <c r="M120" s="3">
        <v>228</v>
      </c>
      <c r="N120" s="3">
        <v>0</v>
      </c>
      <c r="O120" s="3">
        <v>0</v>
      </c>
      <c r="P120" s="4"/>
      <c r="Q120" s="6">
        <f t="shared" si="0"/>
        <v>1</v>
      </c>
      <c r="R120" s="6">
        <f t="shared" si="1"/>
        <v>0</v>
      </c>
      <c r="S120" s="6">
        <f t="shared" si="2"/>
        <v>0</v>
      </c>
    </row>
    <row r="121" spans="1:19" x14ac:dyDescent="0.2">
      <c r="A121" s="3">
        <v>172326</v>
      </c>
      <c r="B121" s="4" t="s">
        <v>409</v>
      </c>
      <c r="C121" s="4" t="s">
        <v>40</v>
      </c>
      <c r="D121" s="4" t="s">
        <v>364</v>
      </c>
      <c r="E121" s="4" t="s">
        <v>410</v>
      </c>
      <c r="F121" s="3">
        <v>15</v>
      </c>
      <c r="G121" s="3">
        <v>8</v>
      </c>
      <c r="H121" s="3">
        <v>2011</v>
      </c>
      <c r="I121" s="4" t="s">
        <v>22</v>
      </c>
      <c r="J121" s="4" t="s">
        <v>40</v>
      </c>
      <c r="K121" s="4" t="s">
        <v>411</v>
      </c>
      <c r="L121" s="5" t="s">
        <v>24</v>
      </c>
      <c r="M121" s="3">
        <v>0</v>
      </c>
      <c r="N121" s="3">
        <v>0</v>
      </c>
      <c r="O121" s="3">
        <v>3</v>
      </c>
      <c r="P121" s="4"/>
      <c r="Q121" s="6">
        <f t="shared" si="0"/>
        <v>0</v>
      </c>
      <c r="R121" s="6">
        <f t="shared" si="1"/>
        <v>0</v>
      </c>
      <c r="S121" s="6">
        <f t="shared" si="2"/>
        <v>1</v>
      </c>
    </row>
    <row r="122" spans="1:19" x14ac:dyDescent="0.2">
      <c r="A122" s="3">
        <v>13916</v>
      </c>
      <c r="B122" s="4" t="s">
        <v>412</v>
      </c>
      <c r="C122" s="4" t="s">
        <v>40</v>
      </c>
      <c r="D122" s="4" t="s">
        <v>145</v>
      </c>
      <c r="E122" s="4" t="s">
        <v>86</v>
      </c>
      <c r="F122" s="3">
        <v>8</v>
      </c>
      <c r="G122" s="3">
        <v>10</v>
      </c>
      <c r="H122" s="3">
        <v>1937</v>
      </c>
      <c r="I122" s="4" t="s">
        <v>22</v>
      </c>
      <c r="J122" s="4" t="s">
        <v>40</v>
      </c>
      <c r="K122" s="4" t="s">
        <v>413</v>
      </c>
      <c r="L122" s="5" t="s">
        <v>24</v>
      </c>
      <c r="M122" s="3">
        <v>0</v>
      </c>
      <c r="N122" s="3">
        <v>0</v>
      </c>
      <c r="O122" s="3">
        <v>0</v>
      </c>
      <c r="P122" s="4"/>
      <c r="Q122" s="6" t="e">
        <f t="shared" si="0"/>
        <v>#DIV/0!</v>
      </c>
      <c r="R122" s="6" t="e">
        <f t="shared" si="1"/>
        <v>#DIV/0!</v>
      </c>
      <c r="S122" s="6" t="e">
        <f t="shared" si="2"/>
        <v>#DIV/0!</v>
      </c>
    </row>
    <row r="123" spans="1:19" x14ac:dyDescent="0.2">
      <c r="A123" s="3">
        <v>104989</v>
      </c>
      <c r="B123" s="4" t="s">
        <v>414</v>
      </c>
      <c r="C123" s="4" t="s">
        <v>40</v>
      </c>
      <c r="D123" s="4" t="s">
        <v>330</v>
      </c>
      <c r="E123" s="4" t="s">
        <v>415</v>
      </c>
      <c r="F123" s="3">
        <v>9</v>
      </c>
      <c r="G123" s="3">
        <v>7</v>
      </c>
      <c r="H123" s="3">
        <v>1992</v>
      </c>
      <c r="I123" s="4" t="s">
        <v>22</v>
      </c>
      <c r="J123" s="4" t="s">
        <v>40</v>
      </c>
      <c r="K123" s="4" t="s">
        <v>416</v>
      </c>
      <c r="L123" s="5" t="s">
        <v>24</v>
      </c>
      <c r="M123" s="3">
        <v>0</v>
      </c>
      <c r="N123" s="3">
        <v>0</v>
      </c>
      <c r="O123" s="3">
        <v>9</v>
      </c>
      <c r="P123" s="4"/>
      <c r="Q123" s="6">
        <f t="shared" si="0"/>
        <v>0</v>
      </c>
      <c r="R123" s="6">
        <f t="shared" si="1"/>
        <v>0</v>
      </c>
      <c r="S123" s="6">
        <f t="shared" si="2"/>
        <v>1</v>
      </c>
    </row>
    <row r="124" spans="1:19" x14ac:dyDescent="0.2">
      <c r="A124" s="3">
        <v>151871</v>
      </c>
      <c r="B124" s="4" t="s">
        <v>417</v>
      </c>
      <c r="C124" s="4" t="s">
        <v>40</v>
      </c>
      <c r="D124" s="4" t="s">
        <v>260</v>
      </c>
      <c r="E124" s="4" t="s">
        <v>418</v>
      </c>
      <c r="F124" s="3">
        <v>23</v>
      </c>
      <c r="G124" s="3">
        <v>4</v>
      </c>
      <c r="H124" s="3">
        <v>2001</v>
      </c>
      <c r="I124" s="4" t="s">
        <v>22</v>
      </c>
      <c r="J124" s="4" t="s">
        <v>40</v>
      </c>
      <c r="K124" s="4" t="s">
        <v>419</v>
      </c>
      <c r="L124" s="5" t="s">
        <v>24</v>
      </c>
      <c r="M124" s="3">
        <v>135</v>
      </c>
      <c r="N124" s="3">
        <v>0</v>
      </c>
      <c r="O124" s="3">
        <v>0</v>
      </c>
      <c r="P124" s="4"/>
      <c r="Q124" s="6">
        <f t="shared" si="0"/>
        <v>1</v>
      </c>
      <c r="R124" s="6">
        <f t="shared" si="1"/>
        <v>0</v>
      </c>
      <c r="S124" s="6">
        <f t="shared" si="2"/>
        <v>0</v>
      </c>
    </row>
    <row r="125" spans="1:19" x14ac:dyDescent="0.2">
      <c r="A125" s="3">
        <v>151924</v>
      </c>
      <c r="B125" s="4" t="s">
        <v>420</v>
      </c>
      <c r="C125" s="4" t="s">
        <v>40</v>
      </c>
      <c r="D125" s="4" t="s">
        <v>260</v>
      </c>
      <c r="E125" s="4" t="s">
        <v>421</v>
      </c>
      <c r="F125" s="3">
        <v>23</v>
      </c>
      <c r="G125" s="3">
        <v>4</v>
      </c>
      <c r="H125" s="3">
        <v>2001</v>
      </c>
      <c r="I125" s="4" t="s">
        <v>22</v>
      </c>
      <c r="J125" s="4" t="s">
        <v>40</v>
      </c>
      <c r="K125" s="4" t="s">
        <v>422</v>
      </c>
      <c r="L125" s="5" t="s">
        <v>24</v>
      </c>
      <c r="M125" s="3">
        <v>59</v>
      </c>
      <c r="N125" s="3">
        <v>0</v>
      </c>
      <c r="O125" s="3">
        <v>0</v>
      </c>
      <c r="P125" s="4"/>
      <c r="Q125" s="6">
        <f t="shared" si="0"/>
        <v>1</v>
      </c>
      <c r="R125" s="6">
        <f t="shared" si="1"/>
        <v>0</v>
      </c>
      <c r="S125" s="6">
        <f t="shared" si="2"/>
        <v>0</v>
      </c>
    </row>
    <row r="126" spans="1:19" x14ac:dyDescent="0.2">
      <c r="A126" s="3">
        <v>13918</v>
      </c>
      <c r="B126" s="4" t="s">
        <v>423</v>
      </c>
      <c r="C126" s="4" t="s">
        <v>40</v>
      </c>
      <c r="D126" s="4" t="s">
        <v>424</v>
      </c>
      <c r="E126" s="4" t="s">
        <v>86</v>
      </c>
      <c r="F126" s="3">
        <v>19</v>
      </c>
      <c r="G126" s="3">
        <v>9</v>
      </c>
      <c r="H126" s="3">
        <v>1923</v>
      </c>
      <c r="I126" s="4" t="s">
        <v>22</v>
      </c>
      <c r="J126" s="4" t="s">
        <v>40</v>
      </c>
      <c r="K126" s="4"/>
      <c r="L126" s="5" t="s">
        <v>24</v>
      </c>
      <c r="M126" s="4" t="s">
        <v>425</v>
      </c>
      <c r="N126" s="4" t="s">
        <v>425</v>
      </c>
      <c r="O126" s="4" t="s">
        <v>425</v>
      </c>
      <c r="P126" s="4" t="s">
        <v>426</v>
      </c>
      <c r="Q126" s="6" t="e">
        <f t="shared" si="0"/>
        <v>#VALUE!</v>
      </c>
      <c r="R126" s="6" t="e">
        <f t="shared" si="1"/>
        <v>#VALUE!</v>
      </c>
      <c r="S126" s="6" t="e">
        <f t="shared" si="2"/>
        <v>#VALUE!</v>
      </c>
    </row>
    <row r="127" spans="1:19" x14ac:dyDescent="0.2">
      <c r="A127" s="3">
        <v>175213</v>
      </c>
      <c r="B127" s="4" t="s">
        <v>427</v>
      </c>
      <c r="C127" s="4" t="s">
        <v>40</v>
      </c>
      <c r="D127" s="4" t="s">
        <v>20</v>
      </c>
      <c r="E127" s="4" t="s">
        <v>428</v>
      </c>
      <c r="F127" s="3">
        <v>28</v>
      </c>
      <c r="G127" s="3">
        <v>8</v>
      </c>
      <c r="H127" s="3">
        <v>2012</v>
      </c>
      <c r="I127" s="4" t="s">
        <v>22</v>
      </c>
      <c r="J127" s="4" t="s">
        <v>40</v>
      </c>
      <c r="K127" s="4" t="s">
        <v>429</v>
      </c>
      <c r="L127" s="5" t="s">
        <v>24</v>
      </c>
      <c r="M127" s="3">
        <v>0</v>
      </c>
      <c r="N127" s="3">
        <v>0</v>
      </c>
      <c r="O127" s="3">
        <v>5</v>
      </c>
      <c r="P127" s="4"/>
      <c r="Q127" s="6">
        <f t="shared" si="0"/>
        <v>0</v>
      </c>
      <c r="R127" s="6">
        <f t="shared" si="1"/>
        <v>0</v>
      </c>
      <c r="S127" s="6">
        <f t="shared" si="2"/>
        <v>1</v>
      </c>
    </row>
    <row r="128" spans="1:19" x14ac:dyDescent="0.2">
      <c r="A128" s="3">
        <v>164652</v>
      </c>
      <c r="B128" s="4" t="s">
        <v>430</v>
      </c>
      <c r="C128" s="4" t="s">
        <v>40</v>
      </c>
      <c r="D128" s="4" t="s">
        <v>20</v>
      </c>
      <c r="E128" s="4" t="s">
        <v>431</v>
      </c>
      <c r="F128" s="3">
        <v>25</v>
      </c>
      <c r="G128" s="3">
        <v>9</v>
      </c>
      <c r="H128" s="3">
        <v>2007</v>
      </c>
      <c r="I128" s="4" t="s">
        <v>22</v>
      </c>
      <c r="J128" s="4" t="s">
        <v>40</v>
      </c>
      <c r="K128" s="4" t="s">
        <v>432</v>
      </c>
      <c r="L128" s="5" t="s">
        <v>24</v>
      </c>
      <c r="M128" s="3">
        <v>0</v>
      </c>
      <c r="N128" s="3">
        <v>0</v>
      </c>
      <c r="O128" s="3">
        <v>17</v>
      </c>
      <c r="P128" s="4"/>
      <c r="Q128" s="6">
        <f t="shared" si="0"/>
        <v>0</v>
      </c>
      <c r="R128" s="6">
        <f t="shared" si="1"/>
        <v>0</v>
      </c>
      <c r="S128" s="6">
        <f t="shared" si="2"/>
        <v>1</v>
      </c>
    </row>
    <row r="129" spans="1:19" x14ac:dyDescent="0.2">
      <c r="A129" s="3">
        <v>184867</v>
      </c>
      <c r="B129" s="4" t="s">
        <v>433</v>
      </c>
      <c r="C129" s="4" t="s">
        <v>40</v>
      </c>
      <c r="D129" s="4" t="s">
        <v>61</v>
      </c>
      <c r="E129" s="4" t="s">
        <v>434</v>
      </c>
      <c r="F129" s="3">
        <v>30</v>
      </c>
      <c r="G129" s="3">
        <v>8</v>
      </c>
      <c r="H129" s="3">
        <v>2017</v>
      </c>
      <c r="I129" s="4" t="s">
        <v>22</v>
      </c>
      <c r="J129" s="4" t="s">
        <v>40</v>
      </c>
      <c r="K129" s="4" t="s">
        <v>435</v>
      </c>
      <c r="L129" s="5" t="s">
        <v>24</v>
      </c>
      <c r="M129" s="3">
        <v>0</v>
      </c>
      <c r="N129" s="3">
        <v>0</v>
      </c>
      <c r="O129" s="3">
        <v>11</v>
      </c>
      <c r="P129" s="4"/>
      <c r="Q129" s="6">
        <f t="shared" si="0"/>
        <v>0</v>
      </c>
      <c r="R129" s="6">
        <f t="shared" si="1"/>
        <v>0</v>
      </c>
      <c r="S129" s="6">
        <f t="shared" si="2"/>
        <v>1</v>
      </c>
    </row>
    <row r="130" spans="1:19" x14ac:dyDescent="0.2">
      <c r="A130" s="3">
        <v>175492</v>
      </c>
      <c r="B130" s="4" t="s">
        <v>436</v>
      </c>
      <c r="C130" s="4" t="s">
        <v>40</v>
      </c>
      <c r="D130" s="4" t="s">
        <v>368</v>
      </c>
      <c r="E130" s="4" t="s">
        <v>437</v>
      </c>
      <c r="F130" s="3">
        <v>25</v>
      </c>
      <c r="G130" s="3">
        <v>9</v>
      </c>
      <c r="H130" s="3">
        <v>2012</v>
      </c>
      <c r="I130" s="4" t="s">
        <v>22</v>
      </c>
      <c r="J130" s="4" t="s">
        <v>40</v>
      </c>
      <c r="K130" s="4" t="s">
        <v>438</v>
      </c>
      <c r="L130" s="5" t="s">
        <v>24</v>
      </c>
      <c r="M130" s="3">
        <v>0</v>
      </c>
      <c r="N130" s="3">
        <v>0</v>
      </c>
      <c r="O130" s="3">
        <v>7</v>
      </c>
      <c r="P130" s="4"/>
      <c r="Q130" s="6">
        <f t="shared" si="0"/>
        <v>0</v>
      </c>
      <c r="R130" s="6">
        <f t="shared" si="1"/>
        <v>0</v>
      </c>
      <c r="S130" s="6">
        <f t="shared" si="2"/>
        <v>1</v>
      </c>
    </row>
    <row r="131" spans="1:19" x14ac:dyDescent="0.2">
      <c r="A131" s="3">
        <v>184285</v>
      </c>
      <c r="B131" s="4" t="s">
        <v>439</v>
      </c>
      <c r="C131" s="4" t="s">
        <v>40</v>
      </c>
      <c r="D131" s="4" t="s">
        <v>165</v>
      </c>
      <c r="E131" s="4" t="s">
        <v>440</v>
      </c>
      <c r="F131" s="3">
        <v>26</v>
      </c>
      <c r="G131" s="3">
        <v>6</v>
      </c>
      <c r="H131" s="3">
        <v>2017</v>
      </c>
      <c r="I131" s="4" t="s">
        <v>22</v>
      </c>
      <c r="J131" s="4" t="s">
        <v>40</v>
      </c>
      <c r="K131" s="4" t="s">
        <v>441</v>
      </c>
      <c r="L131" s="5" t="s">
        <v>24</v>
      </c>
      <c r="M131" s="3">
        <v>0</v>
      </c>
      <c r="N131" s="3">
        <v>0</v>
      </c>
      <c r="O131" s="3">
        <v>7</v>
      </c>
      <c r="P131" s="4"/>
      <c r="Q131" s="6">
        <f t="shared" si="0"/>
        <v>0</v>
      </c>
      <c r="R131" s="6">
        <f t="shared" si="1"/>
        <v>0</v>
      </c>
      <c r="S131" s="6">
        <f t="shared" si="2"/>
        <v>1</v>
      </c>
    </row>
    <row r="132" spans="1:19" x14ac:dyDescent="0.2">
      <c r="A132" s="3">
        <v>164333</v>
      </c>
      <c r="B132" s="4" t="s">
        <v>442</v>
      </c>
      <c r="C132" s="4" t="s">
        <v>40</v>
      </c>
      <c r="D132" s="4" t="s">
        <v>20</v>
      </c>
      <c r="E132" s="4" t="s">
        <v>443</v>
      </c>
      <c r="F132" s="3">
        <v>25</v>
      </c>
      <c r="G132" s="3">
        <v>9</v>
      </c>
      <c r="H132" s="3">
        <v>2007</v>
      </c>
      <c r="I132" s="4" t="s">
        <v>22</v>
      </c>
      <c r="J132" s="4" t="s">
        <v>40</v>
      </c>
      <c r="K132" s="4" t="s">
        <v>444</v>
      </c>
      <c r="L132" s="5" t="s">
        <v>24</v>
      </c>
      <c r="M132" s="3">
        <v>0</v>
      </c>
      <c r="N132" s="3">
        <v>0</v>
      </c>
      <c r="O132" s="3">
        <v>4</v>
      </c>
      <c r="P132" s="4"/>
      <c r="Q132" s="6">
        <f t="shared" si="0"/>
        <v>0</v>
      </c>
      <c r="R132" s="6">
        <f t="shared" si="1"/>
        <v>0</v>
      </c>
      <c r="S132" s="6">
        <f t="shared" si="2"/>
        <v>1</v>
      </c>
    </row>
    <row r="133" spans="1:19" x14ac:dyDescent="0.2">
      <c r="A133" s="3">
        <v>97238</v>
      </c>
      <c r="B133" s="4" t="s">
        <v>445</v>
      </c>
      <c r="C133" s="4" t="s">
        <v>40</v>
      </c>
      <c r="D133" s="4" t="s">
        <v>109</v>
      </c>
      <c r="E133" s="4" t="s">
        <v>446</v>
      </c>
      <c r="F133" s="3">
        <v>19</v>
      </c>
      <c r="G133" s="3">
        <v>4</v>
      </c>
      <c r="H133" s="3">
        <v>1991</v>
      </c>
      <c r="I133" s="4" t="s">
        <v>22</v>
      </c>
      <c r="J133" s="4" t="s">
        <v>40</v>
      </c>
      <c r="K133" s="4" t="s">
        <v>447</v>
      </c>
      <c r="L133" s="5" t="s">
        <v>24</v>
      </c>
      <c r="M133" s="3">
        <v>305</v>
      </c>
      <c r="N133" s="3">
        <v>0</v>
      </c>
      <c r="O133" s="3">
        <v>0</v>
      </c>
      <c r="P133" s="4"/>
      <c r="Q133" s="6">
        <f t="shared" si="0"/>
        <v>1</v>
      </c>
      <c r="R133" s="6">
        <f t="shared" si="1"/>
        <v>0</v>
      </c>
      <c r="S133" s="6">
        <f t="shared" si="2"/>
        <v>0</v>
      </c>
    </row>
    <row r="134" spans="1:19" x14ac:dyDescent="0.2">
      <c r="A134" s="3">
        <v>177778</v>
      </c>
      <c r="B134" s="4" t="s">
        <v>448</v>
      </c>
      <c r="C134" s="4" t="s">
        <v>40</v>
      </c>
      <c r="D134" s="4" t="s">
        <v>449</v>
      </c>
      <c r="E134" s="4" t="s">
        <v>450</v>
      </c>
      <c r="F134" s="3">
        <v>2</v>
      </c>
      <c r="G134" s="3">
        <v>10</v>
      </c>
      <c r="H134" s="3">
        <v>2012</v>
      </c>
      <c r="I134" s="4" t="s">
        <v>22</v>
      </c>
      <c r="J134" s="4" t="s">
        <v>40</v>
      </c>
      <c r="K134" s="4" t="s">
        <v>451</v>
      </c>
      <c r="L134" s="5" t="s">
        <v>24</v>
      </c>
      <c r="M134" s="3">
        <v>0</v>
      </c>
      <c r="N134" s="3">
        <v>0</v>
      </c>
      <c r="O134" s="3">
        <v>24</v>
      </c>
      <c r="P134" s="4"/>
      <c r="Q134" s="6">
        <f t="shared" si="0"/>
        <v>0</v>
      </c>
      <c r="R134" s="6">
        <f t="shared" si="1"/>
        <v>0</v>
      </c>
      <c r="S134" s="6">
        <f t="shared" si="2"/>
        <v>1</v>
      </c>
    </row>
    <row r="135" spans="1:19" x14ac:dyDescent="0.2">
      <c r="A135" s="3">
        <v>168362</v>
      </c>
      <c r="B135" s="4" t="s">
        <v>452</v>
      </c>
      <c r="C135" s="4" t="s">
        <v>40</v>
      </c>
      <c r="D135" s="4" t="s">
        <v>453</v>
      </c>
      <c r="E135" s="4" t="s">
        <v>454</v>
      </c>
      <c r="F135" s="3">
        <v>26</v>
      </c>
      <c r="G135" s="3">
        <v>7</v>
      </c>
      <c r="H135" s="3">
        <v>2010</v>
      </c>
      <c r="I135" s="4" t="s">
        <v>22</v>
      </c>
      <c r="J135" s="4" t="s">
        <v>40</v>
      </c>
      <c r="K135" s="4" t="s">
        <v>455</v>
      </c>
      <c r="L135" s="5" t="s">
        <v>24</v>
      </c>
      <c r="M135" s="3">
        <v>0</v>
      </c>
      <c r="N135" s="3">
        <v>0</v>
      </c>
      <c r="O135" s="3">
        <v>2</v>
      </c>
      <c r="P135" s="4"/>
      <c r="Q135" s="6">
        <f t="shared" si="0"/>
        <v>0</v>
      </c>
      <c r="R135" s="6">
        <f t="shared" si="1"/>
        <v>0</v>
      </c>
      <c r="S135" s="6">
        <f t="shared" si="2"/>
        <v>1</v>
      </c>
    </row>
    <row r="136" spans="1:19" x14ac:dyDescent="0.2">
      <c r="A136" s="3">
        <v>177027</v>
      </c>
      <c r="B136" s="4" t="s">
        <v>456</v>
      </c>
      <c r="C136" s="4" t="s">
        <v>40</v>
      </c>
      <c r="D136" s="4" t="s">
        <v>340</v>
      </c>
      <c r="E136" s="4" t="s">
        <v>457</v>
      </c>
      <c r="F136" s="3">
        <v>1</v>
      </c>
      <c r="G136" s="3">
        <v>7</v>
      </c>
      <c r="H136" s="3">
        <v>2013</v>
      </c>
      <c r="I136" s="4" t="s">
        <v>22</v>
      </c>
      <c r="J136" s="4" t="s">
        <v>40</v>
      </c>
      <c r="K136" s="4" t="s">
        <v>458</v>
      </c>
      <c r="L136" s="5" t="s">
        <v>24</v>
      </c>
      <c r="M136" s="3">
        <v>0</v>
      </c>
      <c r="N136" s="3">
        <v>0</v>
      </c>
      <c r="O136" s="3">
        <v>2</v>
      </c>
      <c r="P136" s="4"/>
      <c r="Q136" s="6">
        <f t="shared" si="0"/>
        <v>0</v>
      </c>
      <c r="R136" s="6">
        <f t="shared" si="1"/>
        <v>0</v>
      </c>
      <c r="S136" s="6">
        <f t="shared" si="2"/>
        <v>1</v>
      </c>
    </row>
    <row r="137" spans="1:19" x14ac:dyDescent="0.2">
      <c r="A137" s="3">
        <v>85786</v>
      </c>
      <c r="B137" s="4" t="s">
        <v>459</v>
      </c>
      <c r="C137" s="4" t="s">
        <v>40</v>
      </c>
      <c r="D137" s="4" t="s">
        <v>78</v>
      </c>
      <c r="E137" s="4" t="s">
        <v>460</v>
      </c>
      <c r="F137" s="3">
        <v>10</v>
      </c>
      <c r="G137" s="3">
        <v>5</v>
      </c>
      <c r="H137" s="3">
        <v>1989</v>
      </c>
      <c r="I137" s="4" t="s">
        <v>22</v>
      </c>
      <c r="J137" s="4" t="s">
        <v>40</v>
      </c>
      <c r="K137" s="4" t="s">
        <v>461</v>
      </c>
      <c r="L137" s="5" t="s">
        <v>24</v>
      </c>
      <c r="M137" s="3">
        <v>85</v>
      </c>
      <c r="N137" s="3">
        <v>72</v>
      </c>
      <c r="O137" s="4"/>
      <c r="P137" s="4"/>
      <c r="Q137" s="6">
        <f t="shared" si="0"/>
        <v>0.54140127388535031</v>
      </c>
      <c r="R137" s="6">
        <f t="shared" si="1"/>
        <v>0.45859872611464969</v>
      </c>
      <c r="S137" s="6">
        <f t="shared" si="2"/>
        <v>0</v>
      </c>
    </row>
    <row r="138" spans="1:19" x14ac:dyDescent="0.2">
      <c r="A138" s="3">
        <v>97248</v>
      </c>
      <c r="B138" s="4" t="s">
        <v>462</v>
      </c>
      <c r="C138" s="4" t="s">
        <v>40</v>
      </c>
      <c r="D138" s="4" t="s">
        <v>221</v>
      </c>
      <c r="E138" s="4" t="s">
        <v>463</v>
      </c>
      <c r="F138" s="3">
        <v>16</v>
      </c>
      <c r="G138" s="3">
        <v>4</v>
      </c>
      <c r="H138" s="3">
        <v>1991</v>
      </c>
      <c r="I138" s="4" t="s">
        <v>22</v>
      </c>
      <c r="J138" s="4" t="s">
        <v>40</v>
      </c>
      <c r="K138" s="4" t="s">
        <v>373</v>
      </c>
      <c r="L138" s="5" t="s">
        <v>24</v>
      </c>
      <c r="M138" s="3">
        <v>134</v>
      </c>
      <c r="N138" s="3">
        <v>0</v>
      </c>
      <c r="O138" s="3">
        <v>0</v>
      </c>
      <c r="P138" s="4"/>
      <c r="Q138" s="6">
        <f t="shared" si="0"/>
        <v>1</v>
      </c>
      <c r="R138" s="6">
        <f t="shared" si="1"/>
        <v>0</v>
      </c>
      <c r="S138" s="6">
        <f t="shared" si="2"/>
        <v>0</v>
      </c>
    </row>
    <row r="139" spans="1:19" x14ac:dyDescent="0.2">
      <c r="A139" s="3">
        <v>172560</v>
      </c>
      <c r="B139" s="4" t="s">
        <v>464</v>
      </c>
      <c r="C139" s="4" t="s">
        <v>40</v>
      </c>
      <c r="D139" s="4" t="s">
        <v>364</v>
      </c>
      <c r="E139" s="4" t="s">
        <v>465</v>
      </c>
      <c r="F139" s="3">
        <v>15</v>
      </c>
      <c r="G139" s="3">
        <v>8</v>
      </c>
      <c r="H139" s="3">
        <v>2011</v>
      </c>
      <c r="I139" s="4" t="s">
        <v>22</v>
      </c>
      <c r="J139" s="4" t="s">
        <v>40</v>
      </c>
      <c r="K139" s="4" t="s">
        <v>466</v>
      </c>
      <c r="L139" s="5" t="s">
        <v>24</v>
      </c>
      <c r="M139" s="3">
        <v>0</v>
      </c>
      <c r="N139" s="3">
        <v>0</v>
      </c>
      <c r="O139" s="3">
        <v>3</v>
      </c>
      <c r="P139" s="4"/>
      <c r="Q139" s="6">
        <f t="shared" si="0"/>
        <v>0</v>
      </c>
      <c r="R139" s="6">
        <f t="shared" si="1"/>
        <v>0</v>
      </c>
      <c r="S139" s="6">
        <f t="shared" si="2"/>
        <v>1</v>
      </c>
    </row>
    <row r="140" spans="1:19" x14ac:dyDescent="0.2">
      <c r="A140" s="3">
        <v>167720</v>
      </c>
      <c r="B140" s="4" t="s">
        <v>467</v>
      </c>
      <c r="C140" s="4" t="s">
        <v>40</v>
      </c>
      <c r="D140" s="4" t="s">
        <v>137</v>
      </c>
      <c r="E140" s="4" t="s">
        <v>468</v>
      </c>
      <c r="F140" s="3">
        <v>17</v>
      </c>
      <c r="G140" s="3">
        <v>9</v>
      </c>
      <c r="H140" s="3">
        <v>2008</v>
      </c>
      <c r="I140" s="4" t="s">
        <v>22</v>
      </c>
      <c r="J140" s="4" t="s">
        <v>40</v>
      </c>
      <c r="K140" s="4" t="s">
        <v>469</v>
      </c>
      <c r="L140" s="5" t="s">
        <v>24</v>
      </c>
      <c r="M140" s="3">
        <v>0</v>
      </c>
      <c r="N140" s="3">
        <v>0</v>
      </c>
      <c r="O140" s="3">
        <v>3</v>
      </c>
      <c r="P140" s="4"/>
      <c r="Q140" s="6">
        <f t="shared" si="0"/>
        <v>0</v>
      </c>
      <c r="R140" s="6">
        <f t="shared" si="1"/>
        <v>0</v>
      </c>
      <c r="S140" s="6">
        <f t="shared" si="2"/>
        <v>1</v>
      </c>
    </row>
    <row r="141" spans="1:19" x14ac:dyDescent="0.2">
      <c r="A141" s="3">
        <v>98711</v>
      </c>
      <c r="B141" s="4" t="s">
        <v>470</v>
      </c>
      <c r="C141" s="4" t="s">
        <v>40</v>
      </c>
      <c r="D141" s="4" t="s">
        <v>109</v>
      </c>
      <c r="E141" s="4" t="s">
        <v>471</v>
      </c>
      <c r="F141" s="3">
        <v>10</v>
      </c>
      <c r="G141" s="3">
        <v>9</v>
      </c>
      <c r="H141" s="3">
        <v>1991</v>
      </c>
      <c r="I141" s="4" t="s">
        <v>22</v>
      </c>
      <c r="J141" s="4" t="s">
        <v>40</v>
      </c>
      <c r="K141" s="4" t="s">
        <v>186</v>
      </c>
      <c r="L141" s="5" t="s">
        <v>24</v>
      </c>
      <c r="M141" s="3">
        <v>0</v>
      </c>
      <c r="N141" s="3">
        <v>0</v>
      </c>
      <c r="O141" s="3">
        <v>3</v>
      </c>
      <c r="P141" s="4"/>
      <c r="Q141" s="6">
        <f t="shared" si="0"/>
        <v>0</v>
      </c>
      <c r="R141" s="6">
        <f t="shared" si="1"/>
        <v>0</v>
      </c>
      <c r="S141" s="6">
        <f t="shared" si="2"/>
        <v>1</v>
      </c>
    </row>
    <row r="142" spans="1:19" x14ac:dyDescent="0.2">
      <c r="A142" s="3">
        <v>159918</v>
      </c>
      <c r="B142" s="4" t="s">
        <v>472</v>
      </c>
      <c r="C142" s="4" t="s">
        <v>40</v>
      </c>
      <c r="D142" s="4" t="s">
        <v>473</v>
      </c>
      <c r="E142" s="4" t="s">
        <v>474</v>
      </c>
      <c r="F142" s="3">
        <v>9</v>
      </c>
      <c r="G142" s="3">
        <v>10</v>
      </c>
      <c r="H142" s="3">
        <v>2006</v>
      </c>
      <c r="I142" s="4" t="s">
        <v>22</v>
      </c>
      <c r="J142" s="4" t="s">
        <v>40</v>
      </c>
      <c r="K142" s="4" t="s">
        <v>475</v>
      </c>
      <c r="L142" s="5" t="s">
        <v>24</v>
      </c>
      <c r="M142" s="3">
        <v>0</v>
      </c>
      <c r="N142" s="3">
        <v>0</v>
      </c>
      <c r="O142" s="3">
        <v>4</v>
      </c>
      <c r="P142" s="4"/>
      <c r="Q142" s="6">
        <f t="shared" si="0"/>
        <v>0</v>
      </c>
      <c r="R142" s="6">
        <f t="shared" si="1"/>
        <v>0</v>
      </c>
      <c r="S142" s="6">
        <f t="shared" si="2"/>
        <v>1</v>
      </c>
    </row>
    <row r="143" spans="1:19" x14ac:dyDescent="0.2">
      <c r="A143" s="3">
        <v>166555</v>
      </c>
      <c r="B143" s="4" t="s">
        <v>476</v>
      </c>
      <c r="C143" s="4" t="s">
        <v>40</v>
      </c>
      <c r="D143" s="4" t="s">
        <v>364</v>
      </c>
      <c r="E143" s="4" t="s">
        <v>477</v>
      </c>
      <c r="F143" s="3">
        <v>5</v>
      </c>
      <c r="G143" s="3">
        <v>5</v>
      </c>
      <c r="H143" s="3">
        <v>2008</v>
      </c>
      <c r="I143" s="4" t="s">
        <v>22</v>
      </c>
      <c r="J143" s="4" t="s">
        <v>40</v>
      </c>
      <c r="K143" s="4" t="s">
        <v>478</v>
      </c>
      <c r="L143" s="5" t="s">
        <v>24</v>
      </c>
      <c r="M143" s="3">
        <v>16</v>
      </c>
      <c r="N143" s="3">
        <v>32</v>
      </c>
      <c r="O143" s="3">
        <v>0</v>
      </c>
      <c r="P143" s="4"/>
      <c r="Q143" s="6">
        <f t="shared" si="0"/>
        <v>0.33333333333333331</v>
      </c>
      <c r="R143" s="6">
        <f t="shared" si="1"/>
        <v>0.66666666666666663</v>
      </c>
      <c r="S143" s="6">
        <f t="shared" si="2"/>
        <v>0</v>
      </c>
    </row>
    <row r="144" spans="1:19" x14ac:dyDescent="0.2">
      <c r="A144" s="3">
        <v>172713</v>
      </c>
      <c r="B144" s="4" t="s">
        <v>479</v>
      </c>
      <c r="C144" s="4" t="s">
        <v>40</v>
      </c>
      <c r="D144" s="4" t="s">
        <v>364</v>
      </c>
      <c r="E144" s="4" t="s">
        <v>480</v>
      </c>
      <c r="F144" s="3">
        <v>9</v>
      </c>
      <c r="G144" s="3">
        <v>5</v>
      </c>
      <c r="H144" s="3">
        <v>2011</v>
      </c>
      <c r="I144" s="4" t="s">
        <v>22</v>
      </c>
      <c r="J144" s="4" t="s">
        <v>40</v>
      </c>
      <c r="K144" s="4" t="s">
        <v>481</v>
      </c>
      <c r="L144" s="5" t="s">
        <v>24</v>
      </c>
      <c r="M144" s="3">
        <v>101</v>
      </c>
      <c r="N144" s="3">
        <v>15</v>
      </c>
      <c r="O144" s="3">
        <v>0</v>
      </c>
      <c r="P144" s="4"/>
      <c r="Q144" s="6">
        <f t="shared" si="0"/>
        <v>0.87068965517241381</v>
      </c>
      <c r="R144" s="6">
        <f t="shared" si="1"/>
        <v>0.12931034482758622</v>
      </c>
      <c r="S144" s="6">
        <f t="shared" si="2"/>
        <v>0</v>
      </c>
    </row>
    <row r="145" spans="1:19" x14ac:dyDescent="0.2">
      <c r="A145" s="3">
        <v>85800</v>
      </c>
      <c r="B145" s="4" t="s">
        <v>482</v>
      </c>
      <c r="C145" s="4" t="s">
        <v>40</v>
      </c>
      <c r="D145" s="4" t="s">
        <v>78</v>
      </c>
      <c r="E145" s="4" t="s">
        <v>483</v>
      </c>
      <c r="F145" s="3">
        <v>10</v>
      </c>
      <c r="G145" s="3">
        <v>5</v>
      </c>
      <c r="H145" s="3">
        <v>1989</v>
      </c>
      <c r="I145" s="4" t="s">
        <v>22</v>
      </c>
      <c r="J145" s="4" t="s">
        <v>40</v>
      </c>
      <c r="K145" s="4" t="s">
        <v>484</v>
      </c>
      <c r="L145" s="5" t="s">
        <v>24</v>
      </c>
      <c r="M145" s="3">
        <v>121</v>
      </c>
      <c r="N145" s="3">
        <v>7</v>
      </c>
      <c r="O145" s="3">
        <v>0</v>
      </c>
      <c r="P145" s="4"/>
      <c r="Q145" s="6">
        <f t="shared" si="0"/>
        <v>0.9453125</v>
      </c>
      <c r="R145" s="6">
        <f t="shared" si="1"/>
        <v>5.46875E-2</v>
      </c>
      <c r="S145" s="6">
        <f t="shared" si="2"/>
        <v>0</v>
      </c>
    </row>
    <row r="146" spans="1:19" x14ac:dyDescent="0.2">
      <c r="A146" s="3">
        <v>75322</v>
      </c>
      <c r="B146" s="4" t="s">
        <v>485</v>
      </c>
      <c r="C146" s="4" t="s">
        <v>40</v>
      </c>
      <c r="D146" s="4" t="s">
        <v>74</v>
      </c>
      <c r="E146" s="4" t="s">
        <v>486</v>
      </c>
      <c r="F146" s="3">
        <v>8</v>
      </c>
      <c r="G146" s="3">
        <v>7</v>
      </c>
      <c r="H146" s="3">
        <v>1987</v>
      </c>
      <c r="I146" s="4" t="s">
        <v>22</v>
      </c>
      <c r="J146" s="4" t="s">
        <v>40</v>
      </c>
      <c r="K146" s="4" t="s">
        <v>487</v>
      </c>
      <c r="L146" s="5" t="s">
        <v>24</v>
      </c>
      <c r="M146" s="3">
        <v>0</v>
      </c>
      <c r="N146" s="3">
        <v>0</v>
      </c>
      <c r="O146" s="3">
        <v>5</v>
      </c>
      <c r="P146" s="4"/>
      <c r="Q146" s="6">
        <f t="shared" si="0"/>
        <v>0</v>
      </c>
      <c r="R146" s="6">
        <f t="shared" si="1"/>
        <v>0</v>
      </c>
      <c r="S146" s="6">
        <f t="shared" si="2"/>
        <v>1</v>
      </c>
    </row>
    <row r="147" spans="1:19" x14ac:dyDescent="0.2">
      <c r="A147" s="3">
        <v>13954</v>
      </c>
      <c r="B147" s="4" t="s">
        <v>488</v>
      </c>
      <c r="C147" s="4" t="s">
        <v>489</v>
      </c>
      <c r="D147" s="4" t="s">
        <v>424</v>
      </c>
      <c r="E147" s="4" t="s">
        <v>86</v>
      </c>
      <c r="F147" s="3">
        <v>16</v>
      </c>
      <c r="G147" s="3">
        <v>4</v>
      </c>
      <c r="H147" s="3">
        <v>1923</v>
      </c>
      <c r="I147" s="4" t="s">
        <v>22</v>
      </c>
      <c r="J147" s="4" t="s">
        <v>489</v>
      </c>
      <c r="K147" s="4"/>
      <c r="L147" s="5" t="s">
        <v>24</v>
      </c>
      <c r="M147" s="3">
        <v>0</v>
      </c>
      <c r="N147" s="3">
        <v>0</v>
      </c>
      <c r="O147" s="3">
        <v>0</v>
      </c>
      <c r="P147" s="4" t="s">
        <v>490</v>
      </c>
      <c r="Q147" s="6" t="e">
        <f t="shared" si="0"/>
        <v>#DIV/0!</v>
      </c>
      <c r="R147" s="6" t="e">
        <f t="shared" si="1"/>
        <v>#DIV/0!</v>
      </c>
      <c r="S147" s="6" t="e">
        <f t="shared" si="2"/>
        <v>#DIV/0!</v>
      </c>
    </row>
    <row r="148" spans="1:19" x14ac:dyDescent="0.2">
      <c r="A148" s="3">
        <v>113047</v>
      </c>
      <c r="B148" s="4" t="s">
        <v>491</v>
      </c>
      <c r="C148" s="4" t="s">
        <v>489</v>
      </c>
      <c r="D148" s="4" t="s">
        <v>153</v>
      </c>
      <c r="E148" s="4" t="s">
        <v>492</v>
      </c>
      <c r="F148" s="3">
        <v>7</v>
      </c>
      <c r="G148" s="3">
        <v>7</v>
      </c>
      <c r="H148" s="3">
        <v>1993</v>
      </c>
      <c r="I148" s="4" t="s">
        <v>22</v>
      </c>
      <c r="J148" s="4" t="s">
        <v>489</v>
      </c>
      <c r="K148" s="4" t="s">
        <v>493</v>
      </c>
      <c r="L148" s="5" t="s">
        <v>24</v>
      </c>
      <c r="M148" s="3">
        <v>0</v>
      </c>
      <c r="N148" s="3">
        <v>0</v>
      </c>
      <c r="O148" s="3">
        <v>20</v>
      </c>
      <c r="P148" s="4"/>
      <c r="Q148" s="6">
        <f t="shared" si="0"/>
        <v>0</v>
      </c>
      <c r="R148" s="6">
        <f t="shared" si="1"/>
        <v>0</v>
      </c>
      <c r="S148" s="6">
        <f t="shared" si="2"/>
        <v>1</v>
      </c>
    </row>
    <row r="149" spans="1:19" x14ac:dyDescent="0.2">
      <c r="A149" s="3">
        <v>75870</v>
      </c>
      <c r="B149" s="4" t="s">
        <v>494</v>
      </c>
      <c r="C149" s="4" t="s">
        <v>489</v>
      </c>
      <c r="D149" s="4" t="s">
        <v>109</v>
      </c>
      <c r="E149" s="4" t="s">
        <v>495</v>
      </c>
      <c r="F149" s="3">
        <v>14</v>
      </c>
      <c r="G149" s="3">
        <v>7</v>
      </c>
      <c r="H149" s="3">
        <v>1987</v>
      </c>
      <c r="I149" s="4" t="s">
        <v>22</v>
      </c>
      <c r="J149" s="4" t="s">
        <v>489</v>
      </c>
      <c r="K149" s="4" t="s">
        <v>496</v>
      </c>
      <c r="L149" s="5" t="s">
        <v>24</v>
      </c>
      <c r="M149" s="3">
        <v>0</v>
      </c>
      <c r="N149" s="3">
        <v>0</v>
      </c>
      <c r="O149" s="3">
        <v>29</v>
      </c>
      <c r="P149" s="4"/>
      <c r="Q149" s="6">
        <f t="shared" si="0"/>
        <v>0</v>
      </c>
      <c r="R149" s="6">
        <f t="shared" si="1"/>
        <v>0</v>
      </c>
      <c r="S149" s="6">
        <f t="shared" si="2"/>
        <v>1</v>
      </c>
    </row>
    <row r="150" spans="1:19" x14ac:dyDescent="0.2">
      <c r="A150" s="3">
        <v>13952</v>
      </c>
      <c r="B150" s="4" t="s">
        <v>497</v>
      </c>
      <c r="C150" s="4" t="s">
        <v>489</v>
      </c>
      <c r="D150" s="4" t="s">
        <v>96</v>
      </c>
      <c r="E150" s="4" t="s">
        <v>86</v>
      </c>
      <c r="F150" s="3">
        <v>18</v>
      </c>
      <c r="G150" s="3">
        <v>5</v>
      </c>
      <c r="H150" s="3">
        <v>1971</v>
      </c>
      <c r="I150" s="4" t="s">
        <v>22</v>
      </c>
      <c r="J150" s="4" t="s">
        <v>489</v>
      </c>
      <c r="K150" s="4" t="s">
        <v>498</v>
      </c>
      <c r="L150" s="5" t="s">
        <v>24</v>
      </c>
      <c r="M150" s="3">
        <v>3</v>
      </c>
      <c r="N150" s="3">
        <v>98</v>
      </c>
      <c r="O150" s="3">
        <v>0</v>
      </c>
      <c r="P150" s="4"/>
      <c r="Q150" s="6">
        <f t="shared" si="0"/>
        <v>2.9702970297029702E-2</v>
      </c>
      <c r="R150" s="6">
        <f t="shared" si="1"/>
        <v>0.97029702970297027</v>
      </c>
      <c r="S150" s="6">
        <f t="shared" si="2"/>
        <v>0</v>
      </c>
    </row>
    <row r="151" spans="1:19" x14ac:dyDescent="0.2">
      <c r="A151" s="3">
        <v>97411</v>
      </c>
      <c r="B151" s="4" t="s">
        <v>499</v>
      </c>
      <c r="C151" s="4" t="s">
        <v>489</v>
      </c>
      <c r="D151" s="4" t="s">
        <v>221</v>
      </c>
      <c r="E151" s="4" t="s">
        <v>500</v>
      </c>
      <c r="F151" s="3">
        <v>15</v>
      </c>
      <c r="G151" s="3">
        <v>4</v>
      </c>
      <c r="H151" s="3">
        <v>1991</v>
      </c>
      <c r="I151" s="4" t="s">
        <v>22</v>
      </c>
      <c r="J151" s="4" t="s">
        <v>489</v>
      </c>
      <c r="K151" s="4" t="s">
        <v>501</v>
      </c>
      <c r="L151" s="5" t="s">
        <v>24</v>
      </c>
      <c r="M151" s="3">
        <v>165</v>
      </c>
      <c r="N151" s="3">
        <v>0</v>
      </c>
      <c r="O151" s="3">
        <v>0</v>
      </c>
      <c r="P151" s="4"/>
      <c r="Q151" s="6">
        <f t="shared" si="0"/>
        <v>1</v>
      </c>
      <c r="R151" s="6">
        <f t="shared" si="1"/>
        <v>0</v>
      </c>
      <c r="S151" s="6">
        <f t="shared" si="2"/>
        <v>0</v>
      </c>
    </row>
    <row r="152" spans="1:19" x14ac:dyDescent="0.2">
      <c r="A152" s="3">
        <v>113773</v>
      </c>
      <c r="B152" s="4" t="s">
        <v>502</v>
      </c>
      <c r="C152" s="4" t="s">
        <v>489</v>
      </c>
      <c r="D152" s="4" t="s">
        <v>109</v>
      </c>
      <c r="E152" s="4" t="s">
        <v>503</v>
      </c>
      <c r="F152" s="3">
        <v>20</v>
      </c>
      <c r="G152" s="3">
        <v>7</v>
      </c>
      <c r="H152" s="3">
        <v>1993</v>
      </c>
      <c r="I152" s="4" t="s">
        <v>22</v>
      </c>
      <c r="J152" s="4" t="s">
        <v>489</v>
      </c>
      <c r="K152" s="4" t="s">
        <v>504</v>
      </c>
      <c r="L152" s="5" t="s">
        <v>24</v>
      </c>
      <c r="M152" s="3">
        <v>0</v>
      </c>
      <c r="N152" s="3">
        <v>0</v>
      </c>
      <c r="O152" s="3">
        <v>15</v>
      </c>
      <c r="P152" s="4"/>
      <c r="Q152" s="6">
        <f t="shared" si="0"/>
        <v>0</v>
      </c>
      <c r="R152" s="6">
        <f t="shared" si="1"/>
        <v>0</v>
      </c>
      <c r="S152" s="6">
        <f t="shared" si="2"/>
        <v>1</v>
      </c>
    </row>
    <row r="153" spans="1:19" x14ac:dyDescent="0.2">
      <c r="A153" s="3">
        <v>97931</v>
      </c>
      <c r="B153" s="4" t="s">
        <v>505</v>
      </c>
      <c r="C153" s="4" t="s">
        <v>489</v>
      </c>
      <c r="D153" s="4" t="s">
        <v>330</v>
      </c>
      <c r="E153" s="4" t="s">
        <v>506</v>
      </c>
      <c r="F153" s="3">
        <v>9</v>
      </c>
      <c r="G153" s="3">
        <v>5</v>
      </c>
      <c r="H153" s="3">
        <v>1991</v>
      </c>
      <c r="I153" s="4" t="s">
        <v>22</v>
      </c>
      <c r="J153" s="4" t="s">
        <v>489</v>
      </c>
      <c r="K153" s="4" t="s">
        <v>507</v>
      </c>
      <c r="L153" s="5" t="s">
        <v>24</v>
      </c>
      <c r="M153" s="3">
        <v>0</v>
      </c>
      <c r="N153" s="3">
        <v>28</v>
      </c>
      <c r="O153" s="3">
        <v>0</v>
      </c>
      <c r="P153" s="4"/>
      <c r="Q153" s="6">
        <f t="shared" si="0"/>
        <v>0</v>
      </c>
      <c r="R153" s="6">
        <f t="shared" si="1"/>
        <v>1</v>
      </c>
      <c r="S153" s="6">
        <f t="shared" si="2"/>
        <v>0</v>
      </c>
    </row>
    <row r="154" spans="1:19" x14ac:dyDescent="0.2">
      <c r="A154" s="3">
        <v>112989</v>
      </c>
      <c r="B154" s="4" t="s">
        <v>508</v>
      </c>
      <c r="C154" s="4" t="s">
        <v>489</v>
      </c>
      <c r="D154" s="4" t="s">
        <v>153</v>
      </c>
      <c r="E154" s="4" t="s">
        <v>509</v>
      </c>
      <c r="F154" s="3">
        <v>7</v>
      </c>
      <c r="G154" s="3">
        <v>7</v>
      </c>
      <c r="H154" s="3">
        <v>1993</v>
      </c>
      <c r="I154" s="4" t="s">
        <v>22</v>
      </c>
      <c r="J154" s="4" t="s">
        <v>489</v>
      </c>
      <c r="K154" s="4" t="s">
        <v>507</v>
      </c>
      <c r="L154" s="5" t="s">
        <v>24</v>
      </c>
      <c r="M154" s="3">
        <v>0</v>
      </c>
      <c r="N154" s="3">
        <v>0</v>
      </c>
      <c r="O154" s="3">
        <v>4</v>
      </c>
      <c r="P154" s="4"/>
      <c r="Q154" s="6">
        <f t="shared" si="0"/>
        <v>0</v>
      </c>
      <c r="R154" s="6">
        <f t="shared" si="1"/>
        <v>0</v>
      </c>
      <c r="S154" s="6">
        <f t="shared" si="2"/>
        <v>1</v>
      </c>
    </row>
    <row r="155" spans="1:19" x14ac:dyDescent="0.2">
      <c r="A155" s="3">
        <v>13953</v>
      </c>
      <c r="B155" s="4" t="s">
        <v>510</v>
      </c>
      <c r="C155" s="4" t="s">
        <v>489</v>
      </c>
      <c r="D155" s="4" t="s">
        <v>96</v>
      </c>
      <c r="E155" s="4" t="s">
        <v>86</v>
      </c>
      <c r="F155" s="3">
        <v>28</v>
      </c>
      <c r="G155" s="3">
        <v>7</v>
      </c>
      <c r="H155" s="3">
        <v>1971</v>
      </c>
      <c r="I155" s="4" t="s">
        <v>22</v>
      </c>
      <c r="J155" s="4" t="s">
        <v>489</v>
      </c>
      <c r="K155" s="4" t="s">
        <v>498</v>
      </c>
      <c r="L155" s="5" t="s">
        <v>24</v>
      </c>
      <c r="M155" s="3">
        <v>0</v>
      </c>
      <c r="N155" s="3">
        <v>0</v>
      </c>
      <c r="O155" s="3">
        <v>30</v>
      </c>
      <c r="P155" s="4"/>
      <c r="Q155" s="6">
        <f t="shared" si="0"/>
        <v>0</v>
      </c>
      <c r="R155" s="6">
        <f t="shared" si="1"/>
        <v>0</v>
      </c>
      <c r="S155" s="6">
        <f t="shared" si="2"/>
        <v>1</v>
      </c>
    </row>
    <row r="156" spans="1:19" x14ac:dyDescent="0.2">
      <c r="A156" s="3">
        <v>13959</v>
      </c>
      <c r="B156" s="4" t="s">
        <v>511</v>
      </c>
      <c r="C156" s="4" t="s">
        <v>512</v>
      </c>
      <c r="D156" s="4" t="s">
        <v>513</v>
      </c>
      <c r="E156" s="4" t="s">
        <v>86</v>
      </c>
      <c r="F156" s="3">
        <v>14</v>
      </c>
      <c r="G156" s="3">
        <v>5</v>
      </c>
      <c r="H156" s="3">
        <v>1975</v>
      </c>
      <c r="I156" s="4" t="s">
        <v>22</v>
      </c>
      <c r="J156" s="4" t="s">
        <v>512</v>
      </c>
      <c r="K156" s="4" t="s">
        <v>514</v>
      </c>
      <c r="L156" s="5" t="s">
        <v>24</v>
      </c>
      <c r="M156" s="3">
        <v>1</v>
      </c>
      <c r="N156" s="3">
        <v>10</v>
      </c>
      <c r="O156" s="3">
        <v>0</v>
      </c>
      <c r="P156" s="4"/>
      <c r="Q156" s="6">
        <f t="shared" si="0"/>
        <v>9.0909090909090912E-2</v>
      </c>
      <c r="R156" s="6">
        <f t="shared" si="1"/>
        <v>0.90909090909090906</v>
      </c>
      <c r="S156" s="6">
        <f t="shared" si="2"/>
        <v>0</v>
      </c>
    </row>
    <row r="157" spans="1:19" x14ac:dyDescent="0.2">
      <c r="A157" s="3">
        <v>13960</v>
      </c>
      <c r="B157" s="4" t="s">
        <v>515</v>
      </c>
      <c r="C157" s="4" t="s">
        <v>512</v>
      </c>
      <c r="D157" s="4" t="s">
        <v>96</v>
      </c>
      <c r="E157" s="4" t="s">
        <v>86</v>
      </c>
      <c r="F157" s="3">
        <v>8</v>
      </c>
      <c r="G157" s="3">
        <v>7</v>
      </c>
      <c r="H157" s="3">
        <v>1971</v>
      </c>
      <c r="I157" s="4" t="s">
        <v>22</v>
      </c>
      <c r="J157" s="4" t="s">
        <v>512</v>
      </c>
      <c r="K157" s="4" t="s">
        <v>514</v>
      </c>
      <c r="L157" s="5" t="s">
        <v>24</v>
      </c>
      <c r="M157" s="3">
        <v>0</v>
      </c>
      <c r="N157" s="3">
        <v>0</v>
      </c>
      <c r="O157" s="3">
        <v>0</v>
      </c>
      <c r="P157" s="4"/>
      <c r="Q157" s="6" t="e">
        <f t="shared" si="0"/>
        <v>#DIV/0!</v>
      </c>
      <c r="R157" s="6" t="e">
        <f t="shared" si="1"/>
        <v>#DIV/0!</v>
      </c>
      <c r="S157" s="6" t="e">
        <f t="shared" si="2"/>
        <v>#DIV/0!</v>
      </c>
    </row>
  </sheetData>
  <dataValidations count="1">
    <dataValidation type="list" allowBlank="1" showErrorMessage="1" sqref="L2:L157" xr:uid="{00000000-0002-0000-0000-000000000000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Miriam Hafkin</cp:lastModifiedBy>
  <dcterms:modified xsi:type="dcterms:W3CDTF">2026-06-26T15:05:31Z</dcterms:modified>
</cp:coreProperties>
</file>